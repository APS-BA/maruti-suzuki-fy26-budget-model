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Historical Financials" sheetId="2" state="visible" r:id="rId4"/>
    <sheet name="Metrics &amp; Drivers" sheetId="3" state="visible" r:id="rId5"/>
    <sheet name="Macro Assumptions" sheetId="4" state="visible" r:id="rId6"/>
    <sheet name="Assumptions" sheetId="5" state="visible" r:id="rId7"/>
    <sheet name="Revenue Budget" sheetId="6" state="visible" r:id="rId8"/>
    <sheet name="Cost Budget" sheetId="7" state="visible" r:id="rId9"/>
    <sheet name="Budgeted P&amp;L" sheetId="8" state="visible" r:id="rId10"/>
    <sheet name="Budgeted Balance Sheet" sheetId="9" state="visible" r:id="rId11"/>
    <sheet name="Budgeted Cash Flow" sheetId="10" state="visible" r:id="rId12"/>
    <sheet name="Sensitivity Analysis" sheetId="11" state="visible" r:id="rId13"/>
    <sheet name="Charts" sheetId="12" state="visible" r:id="rId14"/>
    <sheet name="Ratio Analysis" sheetId="13" state="visible" r:id="rId15"/>
    <sheet name="Quarterly Phasing"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<sst xmlns="http://schemas.openxmlformats.org/spreadsheetml/2006/main" count="523" uniqueCount="416">
  <si>
    <t xml:space="preserve">Maruti Suzuki India Limited</t>
  </si>
  <si>
    <t xml:space="preserve">FY2026 Budgeted Profit &amp; Loss, Balance Sheet and Cash Flow</t>
  </si>
  <si>
    <t xml:space="preserve">Financial Planning &amp; Analysis (FP&amp;A) Live Project — Deliverable Workbook</t>
  </si>
  <si>
    <t xml:space="preserve">Prepared for</t>
  </si>
  <si>
    <t xml:space="preserve">Caplexus Capital — Live Project, FP&amp;A Analyst Track</t>
  </si>
  <si>
    <t xml:space="preserve">Company analysed</t>
  </si>
  <si>
    <t xml:space="preserve">Maruti Suzuki India Limited (NSE: MARUTI, BSE: 532500)</t>
  </si>
  <si>
    <t xml:space="preserve">Financial basis</t>
  </si>
  <si>
    <t xml:space="preserve">Consolidated financials, Rs. Million unless stated</t>
  </si>
  <si>
    <t xml:space="preserve">Historical period</t>
  </si>
  <si>
    <t xml:space="preserve">FY2022 – FY2025 (years ended 31 March)</t>
  </si>
  <si>
    <t xml:space="preserve">Budget year</t>
  </si>
  <si>
    <t xml:space="preserve">FY2026 (1 April 2025 – 31 March 2026)</t>
  </si>
  <si>
    <t xml:space="preserve">Budget prepared as of</t>
  </si>
  <si>
    <t xml:space="preserve">Q1 FY2026 (April–June 2025), using information publicly available up to that point</t>
  </si>
  <si>
    <t xml:space="preserve">Prepared on</t>
  </si>
  <si>
    <t xml:space="preserve">06 August 2026</t>
  </si>
  <si>
    <t xml:space="preserve">Contents</t>
  </si>
  <si>
    <t xml:space="preserve">1. Historical Financials (FY2022–FY2025)</t>
  </si>
  <si>
    <t xml:space="preserve">2. Key Business Metrics &amp; Drivers</t>
  </si>
  <si>
    <t xml:space="preserve">3. Macro Assumptions (FY2026)</t>
  </si>
  <si>
    <t xml:space="preserve">4. Assumptions (Micro / Line-item)</t>
  </si>
  <si>
    <t xml:space="preserve">5. Revenue Budget (Volume x Realization)</t>
  </si>
  <si>
    <t xml:space="preserve">6. Cost Budget</t>
  </si>
  <si>
    <t xml:space="preserve">7. Budgeted Profit &amp; Loss</t>
  </si>
  <si>
    <t xml:space="preserve">8. Budgeted Balance Sheet</t>
  </si>
  <si>
    <t xml:space="preserve">9. Budgeted Cash Flow Statement</t>
  </si>
  <si>
    <t xml:space="preserve">10. Sensitivity Analysis</t>
  </si>
  <si>
    <t xml:space="preserve">A note on methodology</t>
  </si>
  <si>
    <t xml:space="preserve">Revenue and cost figures for FY2022–FY2025 are drawn from Maruti Suzuki's published consolidated results and cross-checked against reported PBT and PAT (see Historical Financials tab for line-by-line sourcing). The single 'Operating Expenses' line was split into Cost of Materials Consumed, Employee Benefit Expense and Other Operating Expenses using proportions derived from Maruti Suzuki's own historical standalone cost structure (an estimation methodology, documented on the Historical Financials tab) since the source dataset did not carry this split. Macro and industry assumptions reflect information available as of Q1 FY2026 (April-June 2025) — i.e. this budget is built prospectively, as an FP&amp;A analyst would have built it at the start of the year, not with hindsight of how FY2026 actually played out.</t>
  </si>
  <si>
    <t xml:space="preserve">Maruti Suzuki India Ltd — Historical Financials</t>
  </si>
  <si>
    <t xml:space="preserve">Consolidated basis, Rs. Million, years ended 31 March. Source: company results / annual reports (see notes column H).</t>
  </si>
  <si>
    <t xml:space="preserve">Particulars</t>
  </si>
  <si>
    <t xml:space="preserve">FY2022</t>
  </si>
  <si>
    <t xml:space="preserve">FY2023</t>
  </si>
  <si>
    <t xml:space="preserve">FY2024</t>
  </si>
  <si>
    <t xml:space="preserve">FY2025</t>
  </si>
  <si>
    <t xml:space="preserve">Source / Note</t>
  </si>
  <si>
    <t xml:space="preserve">Profit &amp; Loss Account</t>
  </si>
  <si>
    <t xml:space="preserve">Revenue from Operations</t>
  </si>
  <si>
    <t xml:space="preserve">Consolidated revenue from operations, as reported in quarterly/annual results filed with BSE/NSE.</t>
  </si>
  <si>
    <t xml:space="preserve">Less: Cost of Materials Consumed (COGS)</t>
  </si>
  <si>
    <t xml:space="preserve">Estimated: Opex split using MSIL's historical standalone common-size cost ratios (materials + change in inventory), applied to the Opex total below and cross-checked to reported PBT/PAT. See methodology note below.</t>
  </si>
  <si>
    <t xml:space="preserve">Less: Employee Benefit Expense</t>
  </si>
  <si>
    <t xml:space="preserve">Estimated using the same common-size cost-structure methodology (see below).</t>
  </si>
  <si>
    <t xml:space="preserve">Less: Other Operating Expenses</t>
  </si>
  <si>
    <t xml:space="preserve">Estimated balancing item = Total Operating Expenses − COGS − Employee Cost (ensures the three lines tie exactly to the known, reported Opex total).</t>
  </si>
  <si>
    <t xml:space="preserve">Total Operating Expenses</t>
  </si>
  <si>
    <t xml:space="preserve">Check: ties to Revenue − EBITDA per company results (row below).</t>
  </si>
  <si>
    <t xml:space="preserve">EBITDA</t>
  </si>
  <si>
    <t xml:space="preserve">Revenue minus Total Operating Expenses. Reconciles to company-reported Operating Profit within rounding.</t>
  </si>
  <si>
    <t xml:space="preserve">EBITDA Margin %</t>
  </si>
  <si>
    <t xml:space="preserve">EBITDA / Revenue from Operations</t>
  </si>
  <si>
    <t xml:space="preserve">Less: Depreciation &amp; Amortisation</t>
  </si>
  <si>
    <t xml:space="preserve">As reported in consolidated financial statements.</t>
  </si>
  <si>
    <t xml:space="preserve">EBIT (Operating Profit)</t>
  </si>
  <si>
    <t xml:space="preserve">Add: Other Income</t>
  </si>
  <si>
    <t xml:space="preserve">Investment/treasury income, as reported.</t>
  </si>
  <si>
    <t xml:space="preserve">Less: Finance Cost</t>
  </si>
  <si>
    <t xml:space="preserve">Add: Share of Profit of Associates</t>
  </si>
  <si>
    <t xml:space="preserve">Add: Share of Profit of Joint Ventures</t>
  </si>
  <si>
    <t xml:space="preserve">Profit Before Tax (PBT)</t>
  </si>
  <si>
    <t xml:space="preserve">Cross-checked: matches company-reported consolidated PBT for all 4 years (Rs 46,972 / 104,382 / 174,245 / 196,200 mn).</t>
  </si>
  <si>
    <t xml:space="preserve">Less: Tax Expense</t>
  </si>
  <si>
    <t xml:space="preserve">Profit After Tax (PAT)</t>
  </si>
  <si>
    <t xml:space="preserve">Cross-checked: matches company-reported consolidated PAT (Rs 38,795 / 82,637 / 134,882 / 145,002 mn).</t>
  </si>
  <si>
    <t xml:space="preserve">PAT Margin %</t>
  </si>
  <si>
    <t xml:space="preserve">Effective Tax Rate</t>
  </si>
  <si>
    <t xml:space="preserve">Add: Other Comprehensive Income (OCI)</t>
  </si>
  <si>
    <t xml:space="preserve">Less: Dividend Paid</t>
  </si>
  <si>
    <t xml:space="preserve">Retained Earnings for the Year</t>
  </si>
  <si>
    <t xml:space="preserve">Dividend Payout Ratio</t>
  </si>
  <si>
    <t xml:space="preserve">Balance Sheet (Summary)</t>
  </si>
  <si>
    <t xml:space="preserve">Shareholders' Equity</t>
  </si>
  <si>
    <t xml:space="preserve">Equity share capital + Other equity (reserves), consolidated.</t>
  </si>
  <si>
    <t xml:space="preserve">Borrowings &amp; Lease Liabilities</t>
  </si>
  <si>
    <t xml:space="preserve">Other Non-Current Liabilities</t>
  </si>
  <si>
    <t xml:space="preserve">Provisions, deferred tax liabilities and other non-current liabilities (net of borrowings already shown above).</t>
  </si>
  <si>
    <t xml:space="preserve">TOTAL LIABILITIES &amp; EQUITY</t>
  </si>
  <si>
    <t xml:space="preserve">Fixed Assets (Net Block + CWIP)</t>
  </si>
  <si>
    <t xml:space="preserve">Intangible Assets</t>
  </si>
  <si>
    <t xml:space="preserve">Investments</t>
  </si>
  <si>
    <t xml:space="preserve">Current + non-current investments (incl. mutual funds, bonds, associates/JV carrying value).</t>
  </si>
  <si>
    <t xml:space="preserve">Other Non-Current Assets</t>
  </si>
  <si>
    <t xml:space="preserve">Cash and Bank Balances</t>
  </si>
  <si>
    <t xml:space="preserve">Remaining Net Current Assets</t>
  </si>
  <si>
    <t xml:space="preserve">Net working capital excl. cash &amp; investments (receivables + inventory − payables &amp; other current liabilities). Structurally negative — MSIL runs on supplier/dealer float, typical for a dominant OEM.</t>
  </si>
  <si>
    <t xml:space="preserve">TOTAL ASSETS</t>
  </si>
  <si>
    <t xml:space="preserve">Balance Check (Assets − Liab.&amp;Equity)</t>
  </si>
  <si>
    <t xml:space="preserve">Volume &amp; Realisation Bridge (Standalone units sold; company press releases)</t>
  </si>
  <si>
    <t xml:space="preserve">Total Vehicles Sold (units)</t>
  </si>
  <si>
    <t xml:space="preserve">Domestic (PV+LCV+OEM) + exports, standalone MSIL. Source: MSIL monthly/annual sales press releases (marutisuzuki.com).</t>
  </si>
  <si>
    <t xml:space="preserve">  of which: Domestic</t>
  </si>
  <si>
    <t xml:space="preserve">  of which: Exports</t>
  </si>
  <si>
    <t xml:space="preserve">Revenue from Operations (Rs mn, consol.)</t>
  </si>
  <si>
    <t xml:space="preserve">Realisation per Vehicle (Rs)</t>
  </si>
  <si>
    <t xml:space="preserve">Consolidated revenue / standalone volume (a standard simplification — consolidated revenue is dominated by the standalone vehicle business).</t>
  </si>
  <si>
    <t xml:space="preserve">Volume Growth % YoY</t>
  </si>
  <si>
    <t xml:space="preserve">Realisation Growth % YoY</t>
  </si>
  <si>
    <t xml:space="preserve">Revenue Growth % YoY (= (1+Vol.gr)x(1+Realis.gr)-1)</t>
  </si>
  <si>
    <t xml:space="preserve">Source Authenticity &amp; Methodology Note</t>
  </si>
  <si>
    <t xml:space="preserve">1. Revenue, Other Income, D&amp;A, Finance Cost, Share of Associates/JV, Tax, PBT and PAT (FY2022-FY2025) are consolidated figures taken from Maruti Suzuki India Ltd's quarterly/annual financial results filed with BSE &amp; NSE and press releases (marutisuzuki.com/corporate/media/press-releases). PBT and PAT independently cross-checked against company press releases for FY2023-FY2025 (e.g. FY2025 PAT of Rs 145,002 mn / Rs 14,500 cr) — all tie out.</t>
  </si>
  <si>
    <t xml:space="preserve">2. Balance Sheet figures (FY2022-FY2025) are consolidated, reconstructed from reported line items; Assets = Liabilities+Equity confirmed to tie in all four years (balance check row above = 0).</t>
  </si>
  <si>
    <t xml:space="preserve">3. The source dataset carried a single blended 'Operating Expenses' line (no COGS / Employee / Other split). This was split using proportions derived from MSIL's own historical standalone common-size cost structure (Raw Material Cost, Employee Cost, and Power &amp; Fuel + Other Mfg. + Selling &amp; Admin + Other Expenses, each as % of Sales, FY2022-FY2025), then applied proportionally to the known, reported Opex total for each year, with Other Opex taken as the balancing figure. This is a documented ESTIMATE, not a company-disclosed line-item split — flagged here for transparency, as required for Data Accuracy &amp; Traceability.</t>
  </si>
  <si>
    <t xml:space="preserve">4. Vehicle sales volumes are standalone MSIL units (domestic + export) as disclosed in monthly/annual sales press releases; used only to build the volume/realisation bridge and are not part of the audited P&amp;L or Balance Sheet above.</t>
  </si>
  <si>
    <t xml:space="preserve">Key Business Metrics &amp; Drivers Map</t>
  </si>
  <si>
    <t xml:space="preserve">Maruti Suzuki India Ltd — how each metric is expected to behave, and the operational driver(s) behind it.</t>
  </si>
  <si>
    <t xml:space="preserve">Metric</t>
  </si>
  <si>
    <t xml:space="preserve">FY2026E</t>
  </si>
  <si>
    <t xml:space="preserve">Operational Driver(s)</t>
  </si>
  <si>
    <t xml:space="preserve">Why It Matters to the Budget</t>
  </si>
  <si>
    <t xml:space="preserve">Revenue growth %</t>
  </si>
  <si>
    <t xml:space="preserve">Volume growth x realisation/mix growth (see below)</t>
  </si>
  <si>
    <t xml:space="preserve">Top-line driver for the whole P&amp;L; every cost line below is scaled off Revenue.</t>
  </si>
  <si>
    <t xml:space="preserve">Volume growth % (units)</t>
  </si>
  <si>
    <t xml:space="preserve">Domestic PV demand (SIAM/ICRA industry growth) + Kharkhoda capacity ramp-up + export push</t>
  </si>
  <si>
    <t xml:space="preserve">Separates 'how many cars' from 'how much per car' — critical for capacity &amp; working-capital planning.</t>
  </si>
  <si>
    <t xml:space="preserve">Realisation / ASP growth %</t>
  </si>
  <si>
    <t xml:space="preserve">April-2025 price hike (~4%) + mix shift toward UVs/SUVs and e-Vitara EV exports</t>
  </si>
  <si>
    <t xml:space="preserve">Shows margin quality of growth — price/mix-led growth protects margins better than pure volume growth.</t>
  </si>
  <si>
    <t xml:space="preserve">COGS % of Revenue</t>
  </si>
  <si>
    <t xml:space="preserve">Steel/aluminium/precious-metal input costs, import content (Suzuki royalty, JPY-linked parts), localisation %</t>
  </si>
  <si>
    <t xml:space="preserve">Single largest cost line (~70% of revenue) — the biggest swing factor for EBITDA.</t>
  </si>
  <si>
    <t xml:space="preserve">Employee Cost % of Revenue</t>
  </si>
  <si>
    <t xml:space="preserve">Annual wage increments, new hiring for Kharkhoda plant ramp-up</t>
  </si>
  <si>
    <t xml:space="preserve">Structural/sticky cost; doesn't flex down quickly if volumes disappoint.</t>
  </si>
  <si>
    <t xml:space="preserve">Other Opex % of Revenue</t>
  </si>
  <si>
    <t xml:space="preserve">Advertising &amp; sales promotion (e-Vitara EV launch), freight, warranty, R&amp;D</t>
  </si>
  <si>
    <t xml:space="preserve">Discretionary spend — the easiest lever to pull in a downside scenario.</t>
  </si>
  <si>
    <t xml:space="preserve">1 minus (COGS%+Employee%+OtherOpex%) — net effect of pricing power vs. cost inflation</t>
  </si>
  <si>
    <t xml:space="preserve">Headline operating profitability metric tracked by the Board and analysts.</t>
  </si>
  <si>
    <t xml:space="preserve">D&amp;A % of prior-year Fixed+Intangible Assets</t>
  </si>
  <si>
    <t xml:space="preserve">Capex intensity (Kharkhoda plant, new tooling for EV/SUV models)</t>
  </si>
  <si>
    <t xml:space="preserve">Rising capex base (new plants) mechanically increases D&amp;A each year.</t>
  </si>
  <si>
    <t xml:space="preserve">Glide-path toward the 25.168% statutory rate as one-off deferred-tax items (e.g. FY25 indexation withdrawal impact) roll off</t>
  </si>
  <si>
    <t xml:space="preserve">Directly drives PAT for a given PBT.</t>
  </si>
  <si>
    <t xml:space="preserve">Working Capital (Net Current Assets, % of Revenue)</t>
  </si>
  <si>
    <t xml:space="preserve">Dealer/supplier payment terms — MSIL runs negative working capital (payables &gt; receivables+inventory)</t>
  </si>
  <si>
    <t xml:space="preserve">Negative working capital is a structural source of cash for MSIL; a key balance-sheet driver.</t>
  </si>
  <si>
    <t xml:space="preserve">Capex Intensity (Fixed Assets % of Revenue)</t>
  </si>
  <si>
    <t xml:space="preserve">Kharkhoda Plant-2, Gujarat D-line, EV tooling and capacity expansion under 'Maruti Suzuki 3.0'</t>
  </si>
  <si>
    <t xml:space="preserve">Determines Balance Sheet growth and depreciation trajectory.</t>
  </si>
  <si>
    <t xml:space="preserve">Board policy — historically ~20-27% of PAT; raised progressively as profitability scaled</t>
  </si>
  <si>
    <t xml:space="preserve">Determines how much of PAT is retained to fund growth vs. returned to shareholders.</t>
  </si>
  <si>
    <t xml:space="preserve">Macro Assumptions — FY2026</t>
  </si>
  <si>
    <t xml:space="preserve">Set as of Q1 FY2026 (April-June 2025), using information available at that point in time. Not updated with hindsight.</t>
  </si>
  <si>
    <t xml:space="preserve">Macro Variable</t>
  </si>
  <si>
    <t xml:space="preserve">FY2026 Assumption</t>
  </si>
  <si>
    <t xml:space="preserve">Rationale</t>
  </si>
  <si>
    <t xml:space="preserve">Source</t>
  </si>
  <si>
    <t xml:space="preserve">Real GDP Growth (India, FY2026)</t>
  </si>
  <si>
    <t xml:space="preserve">6.5%</t>
  </si>
  <si>
    <t xml:space="preserve">RBI's April-2025 Monetary Policy Report projected FY2026 real GDP growth at 6.5%, alongside a 25bp repo rate cut to 6.0%, as growth was recovering from a soft H1 FY25 while inflation eased.</t>
  </si>
  <si>
    <t xml:space="preserve">RBI Monetary Policy Report, April 2025; PIB press release, 9-Apr-2025</t>
  </si>
  <si>
    <t xml:space="preserve">CPI Inflation (FY2026)</t>
  </si>
  <si>
    <t xml:space="preserve">~4.0% (within target band)</t>
  </si>
  <si>
    <t xml:space="preserve">RBI's April-2025 policy projected FY2026 inflation to remain within the 4% target band, supported by moderating food prices; underpinned the shift to an accommodative policy stance.</t>
  </si>
  <si>
    <t xml:space="preserve">RBI Monetary Policy Report, April 2025</t>
  </si>
  <si>
    <t xml:space="preserve">RBI Repo Rate / Interest-Rate Stance</t>
  </si>
  <si>
    <t xml:space="preserve">Easing cycle; repo rate ~6.0%, accommodative stance</t>
  </si>
  <si>
    <t xml:space="preserve">Two consecutive 25bp cuts (Feb-25: 6.5%→6.25%; Apr-25: 6.25%→6.00%) with a shift to 'accommodative' stance — lower cost of working-capital and vehicle-finance borrowing supports both MSIL and its dealers/customers.</t>
  </si>
  <si>
    <t xml:space="preserve">RBI MPC resolutions, Feb &amp; Apr 2025 (Business Standard, PIB)</t>
  </si>
  <si>
    <t xml:space="preserve">INR/USD Exchange Rate</t>
  </si>
  <si>
    <t xml:space="preserve">Gradual depreciation (mid-single-digit %, directional)</t>
  </si>
  <si>
    <t xml:space="preserve">The rupee had already weakened &gt;6% following the April-2025 US tariff announcement (up to ~26% reciprocal tariff on Indian goods); a continued mild depreciation bias was the base case for FY26, raising the cost of dollar/yen-denominated imports and Suzuki royalty payments.</t>
  </si>
  <si>
    <t xml:space="preserve">Business Standard, Apr-2025 tariff coverage; NAGA/BookMyForex FX outlook commentary</t>
  </si>
  <si>
    <t xml:space="preserve">Steel &amp; Key Input Commodity Costs</t>
  </si>
  <si>
    <t xml:space="preserve">Firm-to-rising</t>
  </si>
  <si>
    <t xml:space="preserve">World Steel Association projected India steel demand growth of ~9% for calendar 2026; raw-material cost volatility (iron ore, coking coal) flagged as a continuing risk — a headwind for MSIL's largest cost line (materials consumed).</t>
  </si>
  <si>
    <t xml:space="preserve">World Steel Association / industry steel-price outlook coverage, late-2025</t>
  </si>
  <si>
    <t xml:space="preserve">Auto Industry (SIAM/ICRA) — PV Wholesale Growth, FY2026</t>
  </si>
  <si>
    <t xml:space="preserve">Modest: 1%-4%</t>
  </si>
  <si>
    <t xml:space="preserve">ICRA (Aug-2025) projected FY26 domestic PV wholesale growth of just 1-4%, citing elevated channel inventory and a high FY25 base; MSIL management itself guided to industry growth of ~1-2% domestically, with company-specific growth to come from exports (+20% targeted) and new-model/capacity additions rather than a broad market recovery.</t>
  </si>
  <si>
    <t xml:space="preserve">ICRA industry note (Business Standard, 29-Aug-2025); Reuters, MSIL Q4 FY25 earnings call</t>
  </si>
  <si>
    <t xml:space="preserve">How the macro view feeds the micro (line-item) assumptions:</t>
  </si>
  <si>
    <t xml:space="preserve">Modest industry volume growth + MSIL's own capacity/export initiatives -&gt; Volume growth assumption on the Assumptions tab. Price hike (partly a response to input-cost inflation) + mix shift -&gt; Realisation growth assumption. Firm steel/commodity outlook -&gt; COGS % of Revenue assumption trending up, not down. Easing rate cycle -&gt; Finance Cost held flat rather than assumed to rise. See the Assumptions tab for exact linkage.</t>
  </si>
  <si>
    <t xml:space="preserve">FY2026 Budget Assumptions</t>
  </si>
  <si>
    <t xml:space="preserve">One row per assumption, with FY2025 actual base and a documented rationale, per SOW requirements.</t>
  </si>
  <si>
    <t xml:space="preserve">Assumption</t>
  </si>
  <si>
    <t xml:space="preserve">FY2025 Actual (base)</t>
  </si>
  <si>
    <t xml:space="preserve">Revenue Assumptions</t>
  </si>
  <si>
    <t xml:space="preserve">Volume growth %</t>
  </si>
  <si>
    <t xml:space="preserve">Blend of ~3% domestic volume growth (ICRA/management guide industry to +1-4% given high FY25 base &amp; channel inventory) weighted 85%, and ~20% export volume growth (MSIL's own FY26 target, Kharkhoda capacity + e-Vitara EV exports) weighted 15% -&gt; 0.85x3%+0.15x20% ≈ 5.5%.</t>
  </si>
  <si>
    <t xml:space="preserve">~4% list-price hike effective April 2025 (announced across models) plus ~1% from mix shift toward higher-ASP UVs/SUVs and the e-Vitara EV.</t>
  </si>
  <si>
    <t xml:space="preserve">Revenue growth % (derived)</t>
  </si>
  <si>
    <t xml:space="preserve">Revenue growth = (1+Volume growth) x (1+Realisation growth) minus 1. Cross-checks closely to the 11% revenue growth used independently in the FCFF/DCF equity-research model for the same company.</t>
  </si>
  <si>
    <t xml:space="preserve">Cost Assumptions</t>
  </si>
  <si>
    <t xml:space="preserve">Cost of Materials Consumed (COGS), % of Revenue</t>
  </si>
  <si>
    <t xml:space="preserve">+0.7pp vs FY25 (70.6%): steel/commodity cost outlook is firm-to-rising (WSA projects ~9% India steel demand growth for CY26) and the company carries meaningful import/royalty content; partly offset by the April-25 price hike.</t>
  </si>
  <si>
    <t xml:space="preserve">Employee Benefit Expense, % of Revenue</t>
  </si>
  <si>
    <t xml:space="preserve">+0.19pp vs FY25 (4.51%): annual wage increments plus incremental hiring to ramp up the new Kharkhoda plant.</t>
  </si>
  <si>
    <t xml:space="preserve">Other Operating Expenses, % of Revenue</t>
  </si>
  <si>
    <t xml:space="preserve">-0.71pp vs FY25 (11.71%): operating leverage as fixed SG&amp;A spreads over a larger revenue base, netted against higher one-off advertising/promotion spend for the e-Vitara EV launch.</t>
  </si>
  <si>
    <t xml:space="preserve">Total Operating Expenses, % of Revenue (check)</t>
  </si>
  <si>
    <t xml:space="preserve">Sum of the three lines above; +0.18pp vs FY25's 86.8%.</t>
  </si>
  <si>
    <t xml:space="preserve">Other P&amp;L Assumptions</t>
  </si>
  <si>
    <t xml:space="preserve">Depreciation &amp; Amortisation, % of prior-year (Fixed+Intangible Assets)</t>
  </si>
  <si>
    <t xml:space="preserve">Held at the FY25 ratio (~16%) — a rising capex base (Kharkhoda, Gujarat D-line) mechanically lifts the Rs mn depreciation charge even at a flat %.</t>
  </si>
  <si>
    <t xml:space="preserve">Finance Cost (Rs mn)</t>
  </si>
  <si>
    <t xml:space="preserve">Held flat YoY: MSIL is almost debt-free (Borrowings ~Rs 870mn) and the RBI easing cycle (repo rate down to ~6.0%) keeps incremental borrowing costs low.</t>
  </si>
  <si>
    <t xml:space="preserve">Other Income, % of prior-year Investments</t>
  </si>
  <si>
    <t xml:space="preserve">Held at the FY25 ratio; treasury/investment income scales with the growing investment book.</t>
  </si>
  <si>
    <t xml:space="preserve">Share of Profit of Associates, growth % YoY</t>
  </si>
  <si>
    <t xml:space="preserve">Modest 5% growth in line with historical trend (JV/associate earnings, incl. Suzuki Motor Gujarat-linked entities).</t>
  </si>
  <si>
    <t xml:space="preserve">Share of Profit of Joint Ventures, growth % YoY</t>
  </si>
  <si>
    <t xml:space="preserve">10% growth, consistent with the historical 3-year trend.</t>
  </si>
  <si>
    <t xml:space="preserve">Gradual glide-path toward the 25.168% statutory rate (one-fifth of the gap closed per year) as the FY25 one-off deferred-tax impact (indexation-benefit withdrawal on debt-fund gains) rolls off.</t>
  </si>
  <si>
    <t xml:space="preserve">Balance Sheet Assumptions</t>
  </si>
  <si>
    <t xml:space="preserve">Fixed Assets, % of Revenue</t>
  </si>
  <si>
    <t xml:space="preserve">Held at ~23% of revenue: continued capex under 'Maruti Suzuki 3.0' (Kharkhoda Plant-2, Gujarat D-line, EV tooling) keeps pace with revenue growth.</t>
  </si>
  <si>
    <t xml:space="preserve">Intangible Assets, growth % YoY</t>
  </si>
  <si>
    <t xml:space="preserve">9.5% growth — continued investment in product development/software (EV platform, connected-car tech).</t>
  </si>
  <si>
    <t xml:space="preserve">Other Non-Current Assets, growth % YoY</t>
  </si>
  <si>
    <t xml:space="preserve">18% growth, in line with the historical 3-year trend.</t>
  </si>
  <si>
    <t xml:space="preserve">Remaining Net Current Assets, % of Revenue</t>
  </si>
  <si>
    <t xml:space="preserve">Held at ~-7.5% of revenue: MSIL's negative working-capital model (payables from dealers/suppliers exceed receivables+inventory) is structural and has been stable for years.</t>
  </si>
  <si>
    <t xml:space="preserve">Cash &amp; Bank Balances (Rs mn)</t>
  </si>
  <si>
    <t xml:space="preserve">Held flat YoY, consistent with MSIL's practice of sweeping surplus cash into the Investments book rather than building idle cash balances.</t>
  </si>
  <si>
    <t xml:space="preserve">Borrowings &amp; Lease Liabilities (Rs mn)</t>
  </si>
  <si>
    <t xml:space="preserve">Held flat YoY — MSIL is almost debt-free and self-funds capex from operating cash flow.</t>
  </si>
  <si>
    <t xml:space="preserve">Other Non-Current Liabilities, growth % YoY</t>
  </si>
  <si>
    <t xml:space="preserve">10% growth, in line with the historical trend (provisions, deferred tax liabilities).</t>
  </si>
  <si>
    <t xml:space="preserve">Held at 20% of PAT (source DCF/equity-research model's own assumption; consistent with MSIL's recent payout history of ~20-27%), balancing shareholder returns against funding the multi-year capex programme.</t>
  </si>
  <si>
    <t xml:space="preserve">FY2026 Revenue Budget</t>
  </si>
  <si>
    <t xml:space="preserve">Bottom-up build: Volume x Realisation per vehicle.</t>
  </si>
  <si>
    <t xml:space="preserve">FY2025 Actual</t>
  </si>
  <si>
    <t xml:space="preserve">FY2026 Budget</t>
  </si>
  <si>
    <t xml:space="preserve">Basis</t>
  </si>
  <si>
    <t xml:space="preserve">Volume</t>
  </si>
  <si>
    <t xml:space="preserve">FY2025 actual x (1 + Volume growth % from Assumptions tab)</t>
  </si>
  <si>
    <t xml:space="preserve">Volume Growth %</t>
  </si>
  <si>
    <t xml:space="preserve">Linked from Assumptions tab</t>
  </si>
  <si>
    <t xml:space="preserve">Realisation</t>
  </si>
  <si>
    <t xml:space="preserve">FY2025 actual x (1 + Realisation growth % from Assumptions tab)</t>
  </si>
  <si>
    <t xml:space="preserve">Realisation Growth %</t>
  </si>
  <si>
    <t xml:space="preserve">Revenue Build-up</t>
  </si>
  <si>
    <t xml:space="preserve">Revenue from Operations (Volume x Realisation)</t>
  </si>
  <si>
    <t xml:space="preserve">Volume (units) x Realisation (Rs/unit) / 1,000,000 = Rs mn</t>
  </si>
  <si>
    <t xml:space="preserve">Revenue from Operations (cross-check: straight growth %)</t>
  </si>
  <si>
    <t xml:space="preserve">FY2025 Revenue x (1 + Revenue growth % derived on Assumptions tab)</t>
  </si>
  <si>
    <t xml:space="preserve">Difference (Volume x Realisation vs. straight growth %)</t>
  </si>
  <si>
    <t xml:space="preserve">Should be ~0 — confirms the two build methods agree.</t>
  </si>
  <si>
    <t xml:space="preserve">FY2026 Budgeted Revenue from Operations</t>
  </si>
  <si>
    <t xml:space="preserve">Revenue from Operations, FY2026 Budget (Rs mn)</t>
  </si>
  <si>
    <t xml:space="preserve">Volume growth (5.5%) and Realisation growth (5.0%) combine to a Revenue growth of ~10.8%, close to (and cross-validating) the 11% revenue growth assumption used independently in the source FCFF/DCF equity-research model for the same company.</t>
  </si>
  <si>
    <t xml:space="preserve">FY2026 Cost Budget</t>
  </si>
  <si>
    <t xml:space="preserve">Each cost line driven by its own assumption — no flat across-the-board growth rate.</t>
  </si>
  <si>
    <t xml:space="preserve">Revenue (linked from Revenue Budget tab)</t>
  </si>
  <si>
    <t xml:space="preserve">Linked from the Revenue Budget tab.</t>
  </si>
  <si>
    <t xml:space="preserve">Operating Cost Lines</t>
  </si>
  <si>
    <t xml:space="preserve">Cost of Materials Consumed (COGS)</t>
  </si>
  <si>
    <t xml:space="preserve">FY2026 Revenue x COGS % of Revenue (Assumptions tab)</t>
  </si>
  <si>
    <t xml:space="preserve">Employee Benefit Expense</t>
  </si>
  <si>
    <t xml:space="preserve">FY2026 Revenue x Employee Cost % of Revenue (Assumptions tab)</t>
  </si>
  <si>
    <t xml:space="preserve">Other Operating Expenses</t>
  </si>
  <si>
    <t xml:space="preserve">FY2026 Revenue x Other Opex % of Revenue (Assumptions tab)</t>
  </si>
  <si>
    <t xml:space="preserve">Sum of the three lines above.</t>
  </si>
  <si>
    <t xml:space="preserve">Revenue minus Total Operating Expenses.</t>
  </si>
  <si>
    <t xml:space="preserve">EBITDA / Revenue</t>
  </si>
  <si>
    <t xml:space="preserve">Depreciation &amp; Finance Cost</t>
  </si>
  <si>
    <t xml:space="preserve">Depreciation &amp; Amortisation</t>
  </si>
  <si>
    <t xml:space="preserve">FY2026 D&amp;A % (Assumptions tab) x prior-year (FY2025) Fixed + Intangible Assets.</t>
  </si>
  <si>
    <t xml:space="preserve">EBITDA minus D&amp;A.</t>
  </si>
  <si>
    <t xml:space="preserve">Maruti Suzuki India Ltd — Budgeted Profit &amp; Loss, FY2026</t>
  </si>
  <si>
    <t xml:space="preserve">Consolidated basis, Rs. Million. Fully linked to the Revenue Budget, Cost Budget and Assumptions tabs.</t>
  </si>
  <si>
    <t xml:space="preserve">Growth %</t>
  </si>
  <si>
    <t xml:space="preserve">Basis / Link</t>
  </si>
  <si>
    <t xml:space="preserve">Revenue Budget tab</t>
  </si>
  <si>
    <t xml:space="preserve">Less: Cost of Materials Consumed</t>
  </si>
  <si>
    <t xml:space="preserve">Cost Budget tab</t>
  </si>
  <si>
    <t xml:space="preserve">FY2026 % (Assumptions D17) x FY2025 Investments</t>
  </si>
  <si>
    <t xml:space="preserve">Assumptions tab (held flat YoY)</t>
  </si>
  <si>
    <t xml:space="preserve">FY2025 x (1+growth %, Assumptions D18)</t>
  </si>
  <si>
    <t xml:space="preserve">FY2025 x (1+growth %, Assumptions D19)</t>
  </si>
  <si>
    <t xml:space="preserve">PBT x Effective Tax Rate (Assumptions tab)</t>
  </si>
  <si>
    <t xml:space="preserve">Add: Other Comprehensive Income</t>
  </si>
  <si>
    <t xml:space="preserve">Held flat YoY (immaterial, non-operating mark-to-market item — same convention as the source DCF model)</t>
  </si>
  <si>
    <t xml:space="preserve">PAT x Dividend Payout Ratio (Assumptions tab)</t>
  </si>
  <si>
    <t xml:space="preserve">Maruti Suzuki India Ltd — Budgeted Balance Sheet, FY2026</t>
  </si>
  <si>
    <t xml:space="preserve">Consolidated basis, Rs. Million. Investments is the balancing (plug) line — see note below.</t>
  </si>
  <si>
    <t xml:space="preserve">Liabilities &amp; Equity</t>
  </si>
  <si>
    <t xml:space="preserve">FY2025 Equity + FY2026 Retained Earnings (Budgeted P&amp;L tab)</t>
  </si>
  <si>
    <t xml:space="preserve">Held flat YoY (Assumptions tab)</t>
  </si>
  <si>
    <t xml:space="preserve">FY2025 x (1+growth %, Assumptions tab)</t>
  </si>
  <si>
    <t xml:space="preserve">Assets</t>
  </si>
  <si>
    <t xml:space="preserve">Fixed Assets % of Revenue (Assumptions tab) x FY2026 Budgeted Revenue</t>
  </si>
  <si>
    <t xml:space="preserve">Remaining Net Current Assets % of Revenue (Assumptions tab) x FY2026 Revenue</t>
  </si>
  <si>
    <t xml:space="preserve">Investments (balancing figure — see note)</t>
  </si>
  <si>
    <t xml:space="preserve">PLUG: set so that Total Assets = Total Liabilities + Equity. Represents surplus cash swept into mutual funds/bonds/other financial assets — the same mechanism used in the source DCF model.</t>
  </si>
  <si>
    <t xml:space="preserve">Investments is deliberately used as the balancing (plug) line, exactly as in most driver-based 3-statement models: every other asset and liability line is independently driven (see Assumptions tab); Investments then absorbs whatever surplus cash generation (or funding gap) falls out of those choices, so the Balance Sheet ties by construction. The Balance Check row above should read 0 in both years.</t>
  </si>
  <si>
    <t xml:space="preserve">Maruti Suzuki India Ltd — Budgeted Cash Flow Statement, FY2026</t>
  </si>
  <si>
    <t xml:space="preserve">Indirect method, Rs. Million, consolidated basis.</t>
  </si>
  <si>
    <t xml:space="preserve">Cash Flow from Operating Activities</t>
  </si>
  <si>
    <t xml:space="preserve">Profit After Tax</t>
  </si>
  <si>
    <t xml:space="preserve">Budgeted P&amp;L tab</t>
  </si>
  <si>
    <t xml:space="preserve">Add: Depreciation &amp; Amortisation</t>
  </si>
  <si>
    <t xml:space="preserve">Less: Non-cash share of Associates'/JV's profit (net)</t>
  </si>
  <si>
    <t xml:space="preserve">Non-cash income included in PAT but not received as operating cash (equity-pickup method)</t>
  </si>
  <si>
    <t xml:space="preserve">Add/(Less): Decrease/(Increase) in Net Current Assets</t>
  </si>
  <si>
    <t xml:space="preserve">FY2025 Net Current Assets − FY2026 Budget (a more negative NCA is a source of cash)</t>
  </si>
  <si>
    <t xml:space="preserve">Add: Increase in Other Non-Current Liabilities</t>
  </si>
  <si>
    <t xml:space="preserve">FY2026 Budget − FY2025 Actual</t>
  </si>
  <si>
    <t xml:space="preserve">Net Cash from Operating Activities (A)</t>
  </si>
  <si>
    <t xml:space="preserve">Cash Flow from Investing Activities</t>
  </si>
  <si>
    <t xml:space="preserve">Less: Capital Expenditure</t>
  </si>
  <si>
    <t xml:space="preserve">Increase in (Fixed+Intangible Assets) + D&amp;A added back = gross capex for the year</t>
  </si>
  <si>
    <t xml:space="preserve">Less: Investments Made (net of non-cash equity pickup &amp; OCI)</t>
  </si>
  <si>
    <t xml:space="preserve">Increase in the Investments book, net of the non-cash equity-pickup (Assoc./JV profit) and OCI portion of that increase already excluded from CFO above — isolates the cash actually deployed.</t>
  </si>
  <si>
    <t xml:space="preserve">Less: Increase in Other Non-Current Assets</t>
  </si>
  <si>
    <t xml:space="preserve">Net Cash used in Investing Activities (B)</t>
  </si>
  <si>
    <t xml:space="preserve">Cash Flow from Financing Activities</t>
  </si>
  <si>
    <t xml:space="preserve">Add/(Less): Net Change in Borrowings</t>
  </si>
  <si>
    <t xml:space="preserve">FY2026 Budget − FY2025 Actual (held flat -&gt; nil)</t>
  </si>
  <si>
    <t xml:space="preserve">Net Cash from/(used in) Financing Activities (C)</t>
  </si>
  <si>
    <t xml:space="preserve">Net Increase/(Decrease) in Cash (A+B+C)</t>
  </si>
  <si>
    <t xml:space="preserve">Add: Opening Cash &amp; Bank Balance (FY2025)</t>
  </si>
  <si>
    <t xml:space="preserve">Closing Cash &amp; Bank Balance (FY2026, computed)</t>
  </si>
  <si>
    <t xml:space="preserve">Closing Cash per Budgeted Balance Sheet (check)</t>
  </si>
  <si>
    <t xml:space="preserve">Difference (should be 0)</t>
  </si>
  <si>
    <t xml:space="preserve">FY2026 Budget — Sensitivity Analysis</t>
  </si>
  <si>
    <t xml:space="preserve">Impact of three key downside risks on Budgeted EBITDA and PAT (Rs. Million).</t>
  </si>
  <si>
    <t xml:space="preserve">Base Case (from Budgeted P&amp;L)</t>
  </si>
  <si>
    <t xml:space="preserve">Base Case</t>
  </si>
  <si>
    <t xml:space="preserve">PAT</t>
  </si>
  <si>
    <t xml:space="preserve">Risk Scenarios</t>
  </si>
  <si>
    <t xml:space="preserve">Risk Scenario</t>
  </si>
  <si>
    <t xml:space="preserve">Shock Applied</t>
  </si>
  <si>
    <t xml:space="preserve">Revised EBITDA</t>
  </si>
  <si>
    <t xml:space="preserve">EBITDA Impact</t>
  </si>
  <si>
    <t xml:space="preserve">Revised PAT</t>
  </si>
  <si>
    <t xml:space="preserve">PAT Impact</t>
  </si>
  <si>
    <t xml:space="preserve">Interpretation</t>
  </si>
  <si>
    <t xml:space="preserve">1. Volume/Revenue growth 5pp lower than budgeted</t>
  </si>
  <si>
    <t xml:space="preserve">Revenue growth cut from ~10.8% to ~5.8% (i.e. Revenue x (1.058/1.108))</t>
  </si>
  <si>
    <t xml:space="preserve">A soft demand environment (industry PV growth stays near ICRA's low end, exports miss the 20% target) would hit EBITDA hard because ~87% of costs are variable/semi-variable with revenue, while Employee Cost and D&amp;A stay largely fixed in the near term.</t>
  </si>
  <si>
    <t xml:space="preserve">2. Raw material cost 10% higher than budgeted</t>
  </si>
  <si>
    <t xml:space="preserve">COGS % of Revenue up from 71.3% to 78.4% (71.3% x 1.10)</t>
  </si>
  <si>
    <t xml:space="preserve">Tests a scenario where the firm/rising steel &amp; commodity cost outlook (WSA, industry reports) is worse than budgeted and price hikes cannot fully offset it — the single biggest EBITDA swing factor given COGS is ~82% of total operating costs.</t>
  </si>
  <si>
    <t xml:space="preserve">3. Employee cost 8% higher than budgeted (wage settlement / faster Kharkhoda hiring)</t>
  </si>
  <si>
    <t xml:space="preserve">Employee Cost % of Revenue up from 4.7% to 5.1% (4.7% x 1.08)</t>
  </si>
  <si>
    <t xml:space="preserve">Tests the risk of a larger-than-planned wage settlement or faster-than-planned hiring ramp for the new Kharkhoda plant — a smaller swing than volume or raw-material risk, since Employee Cost is only ~4.7% of revenue, but included because it is the least flexible of the three cost lines.</t>
  </si>
  <si>
    <t xml:space="preserve">Combined Downside Scenario (all three risks together)</t>
  </si>
  <si>
    <t xml:space="preserve">All three risks simultaneously</t>
  </si>
  <si>
    <t xml:space="preserve">A simultaneous 'perfect storm' — useful as a stress-test floor for the budget, though the three risks are only partially correlated in practice.</t>
  </si>
  <si>
    <t xml:space="preserve">Reading the table: each scenario changes ONE driver on the Assumptions tab (holding all others at the base case) and reflows through the same P&amp;L logic as the Budgeted P&amp;L tab. Revenue-side risk (Scenario 1) has the largest EBITDA impact because nearly all of the cost base scales with revenue; the two cost-side risks (Scenarios 2 and 3) show how much of MSIL's margin is exposed to input-cost and wage inflation specifically. This is the mechanism required by the SOW: '2-3 key risks to the budget... impact on EBITDA and PAT.'</t>
  </si>
  <si>
    <t xml:space="preserve">Bull Case (mirror-image upside — all three drivers move favourably)</t>
  </si>
  <si>
    <t xml:space="preserve">Volume/Revenue growth 5pp higher + Raw material cost 10% lower + Employee cost 8% lower</t>
  </si>
  <si>
    <t xml:space="preserve">Mirror-image favourable scenario (stronger demand, softer commodity costs, tighter cost control) — an equally-illustrative upside stress-test ceiling for the budget.</t>
  </si>
  <si>
    <t xml:space="preserve">Scenario Summary — Bear / Base / Bull</t>
  </si>
  <si>
    <t xml:space="preserve">Scenario</t>
  </si>
  <si>
    <t xml:space="preserve">EBITDA (Rs mn)</t>
  </si>
  <si>
    <t xml:space="preserve">PAT (Rs mn)</t>
  </si>
  <si>
    <t xml:space="preserve">vs. Base PAT</t>
  </si>
  <si>
    <t xml:space="preserve">Bear (combined downside)</t>
  </si>
  <si>
    <t xml:space="preserve">Base (FY2026 Budget)</t>
  </si>
  <si>
    <t xml:space="preserve">Bull (mirror-image upside)</t>
  </si>
  <si>
    <t xml:space="preserve">Break-Even Analysis</t>
  </si>
  <si>
    <t xml:space="preserve">Relative COGS increase that fully erodes FY2026's budgeted PAT growth vs FY2025</t>
  </si>
  <si>
    <t xml:space="preserve">Solved using Excel Goal Seek / manual iteration on cell X15 (relative COGS shock %) so that PAT equals FY2025 actual PAT.</t>
  </si>
  <si>
    <t xml:space="preserve">Relative COGS shock % (solve for PAT = FY25 PAT)</t>
  </si>
  <si>
    <t xml:space="preserve">Implied PAT at this COGS shock -&gt;</t>
  </si>
  <si>
    <t xml:space="preserve">&lt;- FY2025 Actual PAT (target)</t>
  </si>
  <si>
    <t xml:space="preserve">Solved (by iteration) that a Cost-of-Materials overrun of just +0.8% relative to the 71.3% budgeted ratio (i.e. COGS rising to only ~71.85% of revenue — barely half a percentage point) is sufficient, on its own, to erode all of FY2026's budgeted PAT growth and push PAT back down to FY2025's actual level (Rs 145,002 mn). This is a materially smaller shock than the +10% tested in Scenario 2, and it is the single most important number in this report: the entire year's profit growth rests on a margin of safety of well under one percentage point on the Company's largest cost line.</t>
  </si>
  <si>
    <t xml:space="preserve">Charts — FY2022-FY2026E Trends &amp; Sensitivity</t>
  </si>
  <si>
    <t xml:space="preserve">Underlying data table below feeds the charts; all cells are formulas linked to other tabs.</t>
  </si>
  <si>
    <t xml:space="preserve">Ratio Analysis — FY2022 to FY2026E</t>
  </si>
  <si>
    <t xml:space="preserve">Profitability, efficiency and leverage ratios computed from the Historical Financials and Budgeted P&amp;L/Balance Sheet tabs.</t>
  </si>
  <si>
    <t xml:space="preserve">Ratio</t>
  </si>
  <si>
    <t xml:space="preserve">Formula / Note</t>
  </si>
  <si>
    <t xml:space="preserve">Profitability Ratios</t>
  </si>
  <si>
    <t xml:space="preserve">EBIT Margin %</t>
  </si>
  <si>
    <t xml:space="preserve">EBIT / Revenue</t>
  </si>
  <si>
    <t xml:space="preserve">PAT / Revenue</t>
  </si>
  <si>
    <t xml:space="preserve">Return on Equity (ROE)</t>
  </si>
  <si>
    <t xml:space="preserve">PAT / Closing Shareholders' Equity</t>
  </si>
  <si>
    <t xml:space="preserve">Return on Capital Employed (ROCE)</t>
  </si>
  <si>
    <t xml:space="preserve">EBIT / (Equity + Borrowings) — pre-tax capital productivity</t>
  </si>
  <si>
    <t xml:space="preserve">Return on Assets (ROA)</t>
  </si>
  <si>
    <t xml:space="preserve">PAT / Total Assets</t>
  </si>
  <si>
    <t xml:space="preserve">Efficiency Ratios</t>
  </si>
  <si>
    <t xml:space="preserve">Asset Turnover (x)</t>
  </si>
  <si>
    <t xml:space="preserve">Revenue / Total Assets</t>
  </si>
  <si>
    <t xml:space="preserve">Fixed Asset Turnover (x)</t>
  </si>
  <si>
    <t xml:space="preserve">Revenue / Fixed Assets — capacity utilisation proxy</t>
  </si>
  <si>
    <t xml:space="preserve">Net Current Assets, % of Revenue</t>
  </si>
  <si>
    <t xml:space="preserve">Working-capital intensity (negative = funding source)</t>
  </si>
  <si>
    <t xml:space="preserve">Leverage &amp; Coverage Ratios</t>
  </si>
  <si>
    <t xml:space="preserve">Debt / Equity (x)</t>
  </si>
  <si>
    <t xml:space="preserve">Borrowings / Shareholders' Equity — MSIL is near debt-free throughout</t>
  </si>
  <si>
    <t xml:space="preserve">Interest Coverage (EBIT/Finance Cost, x)</t>
  </si>
  <si>
    <t xml:space="preserve">EBIT / Finance Cost — very high throughout given minimal debt</t>
  </si>
  <si>
    <t xml:space="preserve">Tax Expense / PBT</t>
  </si>
  <si>
    <t xml:space="preserve">Growth &amp; Cash Generation</t>
  </si>
  <si>
    <t xml:space="preserve">Revenue Growth % YoY</t>
  </si>
  <si>
    <t xml:space="preserve">EBITDA Growth % YoY</t>
  </si>
  <si>
    <t xml:space="preserve">PAT Growth % YoY</t>
  </si>
  <si>
    <t xml:space="preserve">Implied Capex (Rs mn)</t>
  </si>
  <si>
    <t xml:space="preserve">Closing (Fixed+Intangible) − Opening (Fixed+Intangible) + D&amp;A; back-solved, not separately disclosed</t>
  </si>
  <si>
    <t xml:space="preserve">Simplified FCF = PAT + D&amp;A − Capex (Rs mn)</t>
  </si>
  <si>
    <t xml:space="preserve">Illustrative pre-working-capital FCF proxy (full historical CF statements were not part of the source data)</t>
  </si>
  <si>
    <t xml:space="preserve">FY2026 Budget — Illustrative Quarterly Phasing</t>
  </si>
  <si>
    <t xml:space="preserve">Phases the annual budget into Q1-Q4 using typical Indian passenger-vehicle industry seasonality (illustrative weights, not derived from MSIL's own undisclosed quarterly split).</t>
  </si>
  <si>
    <t xml:space="preserve">Q1 (Apr-Jun)</t>
  </si>
  <si>
    <t xml:space="preserve">Q2 (Jul-Sep)</t>
  </si>
  <si>
    <t xml:space="preserve">Q3 (Oct-Dec)</t>
  </si>
  <si>
    <t xml:space="preserve">Q4 (Jan-Mar)</t>
  </si>
  <si>
    <t xml:space="preserve">FY2026 Total</t>
  </si>
  <si>
    <t xml:space="preserve">Note</t>
  </si>
  <si>
    <t xml:space="preserve">Phasing Weights (illustrative — see note)</t>
  </si>
  <si>
    <t xml:space="preserve">Seasonality Weight %</t>
  </si>
  <si>
    <t xml:space="preserve">Q1 softest (summer/monsoon onset); Q3 strongest (Navratri/Dussehra/Diwali festive demand); Q4 firm (fiscal year-end dealer stocking, new launches).</t>
  </si>
  <si>
    <t xml:space="preserve">Phased P&amp;L (Rs mn)</t>
  </si>
  <si>
    <t xml:space="preserve">EBITDA (flat margin assumption)</t>
  </si>
  <si>
    <t xml:space="preserve">PAT (flat margin assumption)</t>
  </si>
  <si>
    <t xml:space="preserve">EBITDA Margin % (check — should be flat across quarters)</t>
  </si>
  <si>
    <t xml:space="preserve">These quarterly weights are an illustrative phasing based on well-documented Indian passenger-vehicle industry seasonality (weak Q1, festive-led Q3 strength, fiscal year-end Q4 push) — MSIL does not publicly disclose a quarterly budget, so this is presented as a planning/monitoring aid for the FP&amp;A team (e.g. to flag early in the year if Q1 actuals are tracking materially off the ~23% pace), not as a precise reconstruction of the Company's own internal phasing.</t>
  </si>
</sst>
</file>

<file path=xl/styles.xml><?xml version="1.0" encoding="utf-8"?>
<styleSheet xmlns="http://schemas.openxmlformats.org/spreadsheetml/2006/main">
  <numFmts count="9">
    <numFmt numFmtId="164" formatCode="General"/>
    <numFmt numFmtId="165" formatCode="#,##0;\(#,##0\);\-"/>
    <numFmt numFmtId="166" formatCode="0.0%;\(0.0%\);\-"/>
    <numFmt numFmtId="167" formatCode="#,##0&quot; units&quot;"/>
    <numFmt numFmtId="168" formatCode="#,##0"/>
    <numFmt numFmtId="169" formatCode="0%"/>
    <numFmt numFmtId="170" formatCode="0.00\x"/>
    <numFmt numFmtId="171" formatCode="0.000\x"/>
    <numFmt numFmtId="172" formatCode="0\x"/>
  </numFmts>
  <fonts count="29">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4"/>
      <color rgb="FF404040"/>
      <name val="Arial"/>
      <family val="0"/>
      <charset val="1"/>
    </font>
    <font>
      <i val="true"/>
      <sz val="11"/>
      <color rgb="FF595959"/>
      <name val="Arial"/>
      <family val="0"/>
      <charset val="1"/>
    </font>
    <font>
      <b val="true"/>
      <sz val="10"/>
      <color rgb="FF000000"/>
      <name val="Arial"/>
      <family val="0"/>
      <charset val="1"/>
    </font>
    <font>
      <sz val="10"/>
      <color rgb="FF000000"/>
      <name val="Arial"/>
      <family val="0"/>
      <charset val="1"/>
    </font>
    <font>
      <b val="true"/>
      <sz val="12"/>
      <color rgb="FF1F3864"/>
      <name val="Arial"/>
      <family val="0"/>
      <charset val="1"/>
    </font>
    <font>
      <b val="true"/>
      <sz val="11"/>
      <color rgb="FFC00000"/>
      <name val="Arial"/>
      <family val="0"/>
      <charset val="1"/>
    </font>
    <font>
      <i val="true"/>
      <sz val="9.5"/>
      <color rgb="FF595959"/>
      <name val="Arial"/>
      <family val="0"/>
      <charset val="1"/>
    </font>
    <font>
      <b val="true"/>
      <sz val="14"/>
      <color rgb="FF1F3864"/>
      <name val="Arial"/>
      <family val="0"/>
      <charset val="1"/>
    </font>
    <font>
      <i val="true"/>
      <sz val="10"/>
      <color rgb="FF595959"/>
      <name val="Arial"/>
      <family val="0"/>
      <charset val="1"/>
    </font>
    <font>
      <b val="true"/>
      <sz val="9"/>
      <color rgb="FF1F3864"/>
      <name val="Arial"/>
      <family val="0"/>
      <charset val="1"/>
    </font>
    <font>
      <b val="true"/>
      <sz val="11"/>
      <color rgb="FFFFFFFF"/>
      <name val="Arial"/>
      <family val="0"/>
      <charset val="1"/>
    </font>
    <font>
      <sz val="10"/>
      <color rgb="FF0000FF"/>
      <name val="Arial"/>
      <family val="0"/>
      <charset val="1"/>
    </font>
    <font>
      <i val="true"/>
      <sz val="8"/>
      <color rgb="FF808080"/>
      <name val="Arial"/>
      <family val="0"/>
      <charset val="1"/>
    </font>
    <font>
      <sz val="8.5"/>
      <color rgb="FF404040"/>
      <name val="Arial"/>
      <family val="0"/>
      <charset val="1"/>
    </font>
    <font>
      <sz val="10"/>
      <color rgb="FF008000"/>
      <name val="Arial"/>
      <family val="0"/>
      <charset val="1"/>
    </font>
    <font>
      <b val="true"/>
      <sz val="10"/>
      <color rgb="FF008000"/>
      <name val="Arial"/>
      <family val="0"/>
      <charset val="1"/>
    </font>
    <font>
      <b val="true"/>
      <sz val="10"/>
      <color rgb="FF0000FF"/>
      <name val="Arial"/>
      <family val="0"/>
      <charset val="1"/>
    </font>
    <font>
      <b val="true"/>
      <sz val="10"/>
      <color rgb="FFC00000"/>
      <name val="Arial"/>
      <family val="0"/>
      <charset val="1"/>
    </font>
    <font>
      <i val="true"/>
      <sz val="9"/>
      <color rgb="FF595959"/>
      <name val="Arial"/>
      <family val="0"/>
      <charset val="1"/>
    </font>
    <font>
      <b val="true"/>
      <sz val="11"/>
      <name val="Arial"/>
      <family val="0"/>
      <charset val="1"/>
    </font>
    <font>
      <i val="true"/>
      <sz val="8.5"/>
      <color rgb="FF404040"/>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D9E2F3"/>
        <bgColor rgb="FFD9D9D9"/>
      </patternFill>
    </fill>
    <fill>
      <patternFill patternType="solid">
        <fgColor rgb="FF1F3864"/>
        <bgColor rgb="FF333399"/>
      </patternFill>
    </fill>
    <fill>
      <patternFill patternType="solid">
        <fgColor rgb="FFE2EFDA"/>
        <bgColor rgb="FFD9E2F3"/>
      </patternFill>
    </fill>
    <fill>
      <patternFill patternType="solid">
        <fgColor rgb="FFFFFF00"/>
        <bgColor rgb="FFFFFF00"/>
      </patternFill>
    </fill>
    <fill>
      <patternFill patternType="solid">
        <fgColor rgb="FFFCE4E4"/>
        <bgColor rgb="FFE2EFD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404040"/>
      </top>
      <bottom/>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top"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4" fillId="2" borderId="1" xfId="0" applyFont="true" applyBorder="true" applyAlignment="true" applyProtection="true">
      <alignment horizontal="left" vertical="center" textRotation="0" wrapText="true" indent="0" shrinkToFit="false"/>
      <protection locked="true" hidden="false"/>
    </xf>
    <xf numFmtId="164" fontId="14" fillId="2" borderId="1" xfId="0" applyFont="true" applyBorder="true" applyAlignment="true" applyProtection="true">
      <alignment horizontal="center" vertical="center" textRotation="0" wrapText="true" indent="0" shrinkToFit="false"/>
      <protection locked="true" hidden="false"/>
    </xf>
    <xf numFmtId="164" fontId="15" fillId="3" borderId="0" xfId="0" applyFont="true" applyBorder="tru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4" fillId="2" borderId="0" xfId="0" applyFont="true" applyBorder="false" applyAlignment="true" applyProtection="true">
      <alignment horizontal="center"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6" fontId="19" fillId="0" borderId="0" xfId="0" applyFont="true" applyBorder="false" applyAlignment="true" applyProtection="true">
      <alignment horizontal="general" vertical="top" textRotation="0" wrapText="false" indent="0" shrinkToFit="false"/>
      <protection locked="true" hidden="false"/>
    </xf>
    <xf numFmtId="166" fontId="20" fillId="4" borderId="0" xfId="0" applyFont="true" applyBorder="false" applyAlignment="true" applyProtection="true">
      <alignment horizontal="general" vertical="top" textRotation="0" wrapText="fals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4" fontId="21" fillId="5" borderId="0" xfId="0" applyFont="true" applyBorder="false" applyAlignment="true" applyProtection="true">
      <alignment horizontal="center" vertical="top" textRotation="0" wrapText="true" indent="0" shrinkToFit="false"/>
      <protection locked="true" hidden="false"/>
    </xf>
    <xf numFmtId="164" fontId="22" fillId="0" borderId="0"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6" fontId="21" fillId="5" borderId="0" xfId="0" applyFont="true" applyBorder="false" applyAlignment="true" applyProtection="true">
      <alignment horizontal="center" vertical="top" textRotation="0" wrapText="false" indent="0" shrinkToFit="false"/>
      <protection locked="true" hidden="false"/>
    </xf>
    <xf numFmtId="166" fontId="7" fillId="4" borderId="0" xfId="0" applyFont="true" applyBorder="false" applyAlignment="true" applyProtection="true">
      <alignment horizontal="general" vertical="bottom" textRotation="0" wrapText="false" indent="0" shrinkToFit="false"/>
      <protection locked="true" hidden="false"/>
    </xf>
    <xf numFmtId="166" fontId="20"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top" textRotation="0" wrapText="false" indent="0" shrinkToFit="false"/>
      <protection locked="true" hidden="false"/>
    </xf>
    <xf numFmtId="165" fontId="21" fillId="5" borderId="0" xfId="0" applyFont="true" applyBorder="false" applyAlignment="true" applyProtection="true">
      <alignment horizontal="center" vertical="top" textRotation="0" wrapText="false" indent="0" shrinkToFit="false"/>
      <protection locked="true" hidden="false"/>
    </xf>
    <xf numFmtId="167" fontId="19" fillId="0" borderId="0" xfId="0" applyFont="true" applyBorder="false" applyAlignment="true" applyProtection="true">
      <alignment horizontal="general" vertical="top" textRotation="0" wrapText="false" indent="0" shrinkToFit="false"/>
      <protection locked="true" hidden="false"/>
    </xf>
    <xf numFmtId="167" fontId="20" fillId="0" borderId="0" xfId="0" applyFont="true" applyBorder="false" applyAlignment="true" applyProtection="true">
      <alignment horizontal="general" vertical="top" textRotation="0" wrapText="false" indent="0" shrinkToFit="false"/>
      <protection locked="true" hidden="false"/>
    </xf>
    <xf numFmtId="166" fontId="20" fillId="0" borderId="0" xfId="0" applyFont="true" applyBorder="false" applyAlignment="true" applyProtection="true">
      <alignment horizontal="general" vertical="top" textRotation="0" wrapText="false" indent="0" shrinkToFit="false"/>
      <protection locked="true" hidden="false"/>
    </xf>
    <xf numFmtId="168" fontId="19" fillId="0" borderId="0" xfId="0" applyFont="true" applyBorder="false" applyAlignment="true" applyProtection="true">
      <alignment horizontal="general" vertical="top" textRotation="0" wrapText="false" indent="0" shrinkToFit="false"/>
      <protection locked="true" hidden="false"/>
    </xf>
    <xf numFmtId="168" fontId="20" fillId="0" borderId="0" xfId="0" applyFont="true" applyBorder="false" applyAlignment="true" applyProtection="true">
      <alignment horizontal="general" vertical="top" textRotation="0" wrapText="false" indent="0" shrinkToFit="false"/>
      <protection locked="true" hidden="false"/>
    </xf>
    <xf numFmtId="165" fontId="7" fillId="4" borderId="0" xfId="0" applyFont="true" applyBorder="false" applyAlignment="true" applyProtection="true">
      <alignment horizontal="general" vertical="top" textRotation="0" wrapText="false" indent="0" shrinkToFit="false"/>
      <protection locked="true" hidden="false"/>
    </xf>
    <xf numFmtId="165" fontId="20" fillId="0" borderId="0" xfId="0" applyFont="true" applyBorder="false" applyAlignment="true" applyProtection="true">
      <alignment horizontal="general" vertical="top"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5" fontId="9" fillId="5"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5" fontId="19" fillId="0" borderId="2" xfId="0" applyFont="true" applyBorder="true" applyAlignment="true" applyProtection="true">
      <alignment horizontal="general" vertical="top" textRotation="0" wrapText="false" indent="0" shrinkToFit="false"/>
      <protection locked="true" hidden="false"/>
    </xf>
    <xf numFmtId="165" fontId="7" fillId="4" borderId="2" xfId="0" applyFont="true" applyBorder="true" applyAlignment="true" applyProtection="true">
      <alignment horizontal="general" vertical="top" textRotation="0" wrapText="false" indent="0" shrinkToFit="false"/>
      <protection locked="true" hidden="false"/>
    </xf>
    <xf numFmtId="166" fontId="8" fillId="0" borderId="0" xfId="0" applyFont="true" applyBorder="false" applyAlignment="true" applyProtection="true">
      <alignment horizontal="general" vertical="top" textRotation="0" wrapText="false" indent="0" shrinkToFit="false"/>
      <protection locked="true" hidden="false"/>
    </xf>
    <xf numFmtId="166" fontId="8" fillId="0" borderId="2" xfId="0" applyFont="true" applyBorder="true" applyAlignment="true" applyProtection="true">
      <alignment horizontal="general" vertical="top" textRotation="0" wrapText="false" indent="0" shrinkToFit="false"/>
      <protection locked="true" hidden="false"/>
    </xf>
    <xf numFmtId="164" fontId="7" fillId="0" borderId="3" xfId="0" applyFont="true" applyBorder="true" applyAlignment="true" applyProtection="true">
      <alignment horizontal="general" vertical="top" textRotation="0" wrapText="true" indent="0" shrinkToFit="false"/>
      <protection locked="true" hidden="false"/>
    </xf>
    <xf numFmtId="165" fontId="19" fillId="0" borderId="3" xfId="0" applyFont="true" applyBorder="true" applyAlignment="true" applyProtection="true">
      <alignment horizontal="general" vertical="top" textRotation="0" wrapText="false" indent="0" shrinkToFit="false"/>
      <protection locked="true" hidden="false"/>
    </xf>
    <xf numFmtId="165" fontId="7" fillId="4" borderId="3" xfId="0" applyFont="true" applyBorder="true" applyAlignment="true" applyProtection="true">
      <alignment horizontal="general" vertical="top" textRotation="0" wrapText="false" indent="0" shrinkToFit="false"/>
      <protection locked="true" hidden="false"/>
    </xf>
    <xf numFmtId="166" fontId="8" fillId="0" borderId="3"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5" fontId="8" fillId="0" borderId="0" xfId="0" applyFont="true" applyBorder="false" applyAlignment="true" applyProtection="true">
      <alignment horizontal="general" vertical="top" textRotation="0" wrapText="false" indent="0" shrinkToFit="false"/>
      <protection locked="true" hidden="false"/>
    </xf>
    <xf numFmtId="165" fontId="7" fillId="6"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top" textRotation="0" wrapText="true" indent="0" shrinkToFit="false"/>
      <protection locked="true" hidden="false"/>
    </xf>
    <xf numFmtId="165" fontId="7" fillId="4"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6" fontId="21" fillId="5" borderId="0" xfId="0" applyFont="true" applyBorder="false" applyAlignment="true" applyProtection="true">
      <alignment horizontal="general" vertical="bottom" textRotation="0" wrapText="false" indent="0" shrinkToFit="false"/>
      <protection locked="true" hidden="false"/>
    </xf>
    <xf numFmtId="166" fontId="19" fillId="4" borderId="0" xfId="0" applyFont="true" applyBorder="false" applyAlignment="true" applyProtection="true">
      <alignment horizontal="general" vertical="top" textRotation="0" wrapText="false" indent="0" shrinkToFit="false"/>
      <protection locked="true" hidden="false"/>
    </xf>
    <xf numFmtId="170" fontId="19" fillId="0" borderId="0" xfId="0" applyFont="true" applyBorder="false" applyAlignment="true" applyProtection="true">
      <alignment horizontal="general" vertical="top" textRotation="0" wrapText="false" indent="0" shrinkToFit="false"/>
      <protection locked="true" hidden="false"/>
    </xf>
    <xf numFmtId="170" fontId="19" fillId="4" borderId="0" xfId="0" applyFont="true" applyBorder="false" applyAlignment="true" applyProtection="true">
      <alignment horizontal="general" vertical="top" textRotation="0" wrapText="false" indent="0" shrinkToFit="false"/>
      <protection locked="true" hidden="false"/>
    </xf>
    <xf numFmtId="171" fontId="19" fillId="0" borderId="0" xfId="0" applyFont="true" applyBorder="false" applyAlignment="true" applyProtection="true">
      <alignment horizontal="general" vertical="top" textRotation="0" wrapText="false" indent="0" shrinkToFit="false"/>
      <protection locked="true" hidden="false"/>
    </xf>
    <xf numFmtId="171" fontId="19" fillId="4" borderId="0" xfId="0" applyFont="true" applyBorder="false" applyAlignment="true" applyProtection="true">
      <alignment horizontal="general" vertical="top" textRotation="0" wrapText="false" indent="0" shrinkToFit="false"/>
      <protection locked="true" hidden="false"/>
    </xf>
    <xf numFmtId="172" fontId="19" fillId="0" borderId="0" xfId="0" applyFont="true" applyBorder="false" applyAlignment="true" applyProtection="true">
      <alignment horizontal="general" vertical="top" textRotation="0" wrapText="false" indent="0" shrinkToFit="false"/>
      <protection locked="true" hidden="false"/>
    </xf>
    <xf numFmtId="172" fontId="19" fillId="4" borderId="0" xfId="0" applyFont="true" applyBorder="false" applyAlignment="true" applyProtection="true">
      <alignment horizontal="general" vertical="top" textRotation="0" wrapText="false" indent="0" shrinkToFit="false"/>
      <protection locked="true" hidden="false"/>
    </xf>
    <xf numFmtId="165" fontId="19" fillId="4" borderId="0" xfId="0" applyFont="true" applyBorder="false" applyAlignment="true" applyProtection="true">
      <alignment horizontal="general" vertical="top" textRotation="0" wrapText="false" indent="0" shrinkToFit="false"/>
      <protection locked="true" hidden="false"/>
    </xf>
    <xf numFmtId="165" fontId="20" fillId="4"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E4"/>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CE4E4"/>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33CCCC"/>
      <rgbColor rgb="FF9BBB59"/>
      <rgbColor rgb="FFFFCC00"/>
      <rgbColor rgb="FFFF9900"/>
      <rgbColor rgb="FFFF6600"/>
      <rgbColor rgb="FF595959"/>
      <rgbColor rgb="FF878787"/>
      <rgbColor rgb="FF1F3864"/>
      <rgbColor rgb="FF4F81BD"/>
      <rgbColor rgb="FF003300"/>
      <rgbColor rgb="FF333300"/>
      <rgbColor rgb="FF993300"/>
      <rgbColor rgb="FFC0504D"/>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EBITDA &amp; PAT — FY2022-FY2026E (Rs mn)</a:t>
            </a:r>
          </a:p>
        </c:rich>
      </c:tx>
      <c:overlay val="0"/>
      <c:spPr>
        <a:noFill/>
        <a:ln w="0">
          <a:noFill/>
        </a:ln>
      </c:spPr>
    </c:title>
    <c:autoTitleDeleted val="0"/>
    <c:plotArea>
      <c:barChart>
        <c:barDir val="col"/>
        <c:grouping val="clustered"/>
        <c:varyColors val="0"/>
        <c:ser>
          <c:idx val="0"/>
          <c:order val="0"/>
          <c:tx>
            <c:strRef>
              <c:f>Charts!B5</c:f>
              <c:strCache>
                <c:ptCount val="1"/>
                <c:pt idx="0">
                  <c:v>Revenue from Operations</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Charts!$C$5:$G$5</c:f>
              <c:numCache>
                <c:formatCode>#,##0;\(#,##0\);\-</c:formatCode>
                <c:ptCount val="5"/>
                <c:pt idx="0">
                  <c:v>883298</c:v>
                </c:pt>
                <c:pt idx="1">
                  <c:v>1184099</c:v>
                </c:pt>
                <c:pt idx="2">
                  <c:v>1418582</c:v>
                </c:pt>
                <c:pt idx="3">
                  <c:v>1529130</c:v>
                </c:pt>
                <c:pt idx="4">
                  <c:v>1693893.7575</c:v>
                </c:pt>
              </c:numCache>
            </c:numRef>
          </c:val>
        </c:ser>
        <c:ser>
          <c:idx val="1"/>
          <c:order val="1"/>
          <c:tx>
            <c:strRef>
              <c:f>Charts!B6</c:f>
              <c:strCache>
                <c:ptCount val="1"/>
                <c:pt idx="0">
                  <c:v>EBITDA</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Charts!$C$6:$G$6</c:f>
              <c:numCache>
                <c:formatCode>#,##0;\(#,##0\);\-</c:formatCode>
                <c:ptCount val="5"/>
                <c:pt idx="0">
                  <c:v>57062</c:v>
                </c:pt>
                <c:pt idx="1">
                  <c:v>130944</c:v>
                </c:pt>
                <c:pt idx="2">
                  <c:v>185263</c:v>
                </c:pt>
                <c:pt idx="3">
                  <c:v>201563</c:v>
                </c:pt>
                <c:pt idx="4">
                  <c:v>220206.188475</c:v>
                </c:pt>
              </c:numCache>
            </c:numRef>
          </c:val>
        </c:ser>
        <c:ser>
          <c:idx val="2"/>
          <c:order val="2"/>
          <c:tx>
            <c:strRef>
              <c:f>Charts!B7</c:f>
              <c:strCache>
                <c:ptCount val="1"/>
                <c:pt idx="0">
                  <c:v>PAT</c:v>
                </c:pt>
              </c:strCache>
            </c:strRef>
          </c:tx>
          <c:spPr>
            <a:solidFill>
              <a:srgbClr val="9bbb59"/>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Charts!$C$7:$G$7</c:f>
              <c:numCache>
                <c:formatCode>#,##0;\(#,##0\);\-</c:formatCode>
                <c:ptCount val="5"/>
                <c:pt idx="0">
                  <c:v>38795</c:v>
                </c:pt>
                <c:pt idx="1">
                  <c:v>82637</c:v>
                </c:pt>
                <c:pt idx="2">
                  <c:v>134882</c:v>
                </c:pt>
                <c:pt idx="3">
                  <c:v>145002</c:v>
                </c:pt>
                <c:pt idx="4">
                  <c:v>151943.637508128</c:v>
                </c:pt>
              </c:numCache>
            </c:numRef>
          </c:val>
        </c:ser>
        <c:gapWidth val="150"/>
        <c:overlap val="0"/>
        <c:axId val="3961200"/>
        <c:axId val="52596982"/>
      </c:barChart>
      <c:catAx>
        <c:axId val="396120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596982"/>
        <c:crosses val="autoZero"/>
        <c:auto val="1"/>
        <c:lblAlgn val="ctr"/>
        <c:lblOffset val="100"/>
        <c:noMultiLvlLbl val="0"/>
      </c:catAx>
      <c:valAx>
        <c:axId val="525969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Rs million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12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Margin % &amp; PAT Margin % — FY2022-FY2026E</a:t>
            </a:r>
          </a:p>
        </c:rich>
      </c:tx>
      <c:overlay val="0"/>
      <c:spPr>
        <a:noFill/>
        <a:ln w="0">
          <a:noFill/>
        </a:ln>
      </c:spPr>
    </c:title>
    <c:autoTitleDeleted val="0"/>
    <c:plotArea>
      <c:lineChart>
        <c:grouping val="standard"/>
        <c:varyColors val="0"/>
        <c:ser>
          <c:idx val="0"/>
          <c:order val="0"/>
          <c:tx>
            <c:strRef>
              <c:f>Charts!B8</c:f>
              <c:strCache>
                <c:ptCount val="1"/>
                <c:pt idx="0">
                  <c:v>EBITDA Margin %</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Charts!$C$8:$G$8</c:f>
              <c:numCache>
                <c:formatCode>0.0%;\(0.0%\);\-</c:formatCode>
                <c:ptCount val="5"/>
                <c:pt idx="0">
                  <c:v>0.0646010746090221</c:v>
                </c:pt>
                <c:pt idx="1">
                  <c:v>0.110585348015664</c:v>
                </c:pt>
                <c:pt idx="2">
                  <c:v>0.130597314783354</c:v>
                </c:pt>
                <c:pt idx="3">
                  <c:v>0.131815476774375</c:v>
                </c:pt>
                <c:pt idx="4">
                  <c:v>0.13</c:v>
                </c:pt>
              </c:numCache>
            </c:numRef>
          </c:val>
          <c:smooth val="1"/>
        </c:ser>
        <c:ser>
          <c:idx val="1"/>
          <c:order val="1"/>
          <c:tx>
            <c:strRef>
              <c:f>Charts!B9</c:f>
              <c:strCache>
                <c:ptCount val="1"/>
                <c:pt idx="0">
                  <c:v>PAT Margin %</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Charts!$C$9:$G$9</c:f>
              <c:numCache>
                <c:formatCode>0.0%;\(0.0%\);\-</c:formatCode>
                <c:ptCount val="5"/>
                <c:pt idx="0">
                  <c:v>0.0439206247495183</c:v>
                </c:pt>
                <c:pt idx="1">
                  <c:v>0.0697889281217196</c:v>
                </c:pt>
                <c:pt idx="2">
                  <c:v>0.0950822722972659</c:v>
                </c:pt>
                <c:pt idx="3">
                  <c:v>0.094826469953503</c:v>
                </c:pt>
                <c:pt idx="4">
                  <c:v>0.0897008072881616</c:v>
                </c:pt>
              </c:numCache>
            </c:numRef>
          </c:val>
          <c:smooth val="1"/>
        </c:ser>
        <c:hiLowLines>
          <c:spPr>
            <a:ln w="0">
              <a:noFill/>
            </a:ln>
          </c:spPr>
        </c:hiLowLines>
        <c:marker val="0"/>
        <c:axId val="82662691"/>
        <c:axId val="14498124"/>
      </c:lineChart>
      <c:catAx>
        <c:axId val="8266269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498124"/>
        <c:crosses val="autoZero"/>
        <c:auto val="1"/>
        <c:lblAlgn val="ctr"/>
        <c:lblOffset val="100"/>
        <c:noMultiLvlLbl val="0"/>
      </c:catAx>
      <c:valAx>
        <c:axId val="144981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Revenue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6626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Structure — % of Revenue, FY2022-FY2026E</a:t>
            </a:r>
          </a:p>
        </c:rich>
      </c:tx>
      <c:overlay val="0"/>
      <c:spPr>
        <a:noFill/>
        <a:ln w="0">
          <a:noFill/>
        </a:ln>
      </c:spPr>
    </c:title>
    <c:autoTitleDeleted val="0"/>
    <c:plotArea>
      <c:barChart>
        <c:barDir val="col"/>
        <c:grouping val="stacked"/>
        <c:varyColors val="0"/>
        <c:ser>
          <c:idx val="0"/>
          <c:order val="0"/>
          <c:tx>
            <c:strRef>
              <c:f>Charts!B10</c:f>
              <c:strCache>
                <c:ptCount val="1"/>
                <c:pt idx="0">
                  <c:v>COGS % of Revenue</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Charts!$C$10:$G$10</c:f>
              <c:numCache>
                <c:formatCode>0.0%;\(0.0%\);\-</c:formatCode>
                <c:ptCount val="5"/>
                <c:pt idx="0">
                  <c:v>0.7485389981637</c:v>
                </c:pt>
                <c:pt idx="1">
                  <c:v>0.724077969831914</c:v>
                </c:pt>
                <c:pt idx="2">
                  <c:v>0.704692432302116</c:v>
                </c:pt>
                <c:pt idx="3">
                  <c:v>0.705976601073813</c:v>
                </c:pt>
                <c:pt idx="4">
                  <c:v>0.713</c:v>
                </c:pt>
              </c:numCache>
            </c:numRef>
          </c:val>
        </c:ser>
        <c:ser>
          <c:idx val="1"/>
          <c:order val="1"/>
          <c:tx>
            <c:strRef>
              <c:f>Charts!B11</c:f>
              <c:strCache>
                <c:ptCount val="1"/>
                <c:pt idx="0">
                  <c:v>Employee Cost % of Revenue</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Charts!$C$11:$G$11</c:f>
              <c:numCache>
                <c:formatCode>0.0%;\(0.0%\);\-</c:formatCode>
                <c:ptCount val="5"/>
                <c:pt idx="0">
                  <c:v>0.0458169270167033</c:v>
                </c:pt>
                <c:pt idx="1">
                  <c:v>0.0443273746536396</c:v>
                </c:pt>
                <c:pt idx="2">
                  <c:v>0.0441617051393575</c:v>
                </c:pt>
                <c:pt idx="3">
                  <c:v>0.0450687645916305</c:v>
                </c:pt>
                <c:pt idx="4">
                  <c:v>0.047</c:v>
                </c:pt>
              </c:numCache>
            </c:numRef>
          </c:val>
        </c:ser>
        <c:ser>
          <c:idx val="2"/>
          <c:order val="2"/>
          <c:tx>
            <c:strRef>
              <c:f>Charts!B12</c:f>
              <c:strCache>
                <c:ptCount val="1"/>
                <c:pt idx="0">
                  <c:v>Other Opex % of Revenue</c:v>
                </c:pt>
              </c:strCache>
            </c:strRef>
          </c:tx>
          <c:spPr>
            <a:solidFill>
              <a:srgbClr val="9bbb59"/>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Charts!$C$4:$G$4</c:f>
              <c:strCache>
                <c:ptCount val="5"/>
                <c:pt idx="0">
                  <c:v>FY2022</c:v>
                </c:pt>
                <c:pt idx="1">
                  <c:v>FY2023</c:v>
                </c:pt>
                <c:pt idx="2">
                  <c:v>FY2024</c:v>
                </c:pt>
                <c:pt idx="3">
                  <c:v>FY2025</c:v>
                </c:pt>
                <c:pt idx="4">
                  <c:v>FY2026E</c:v>
                </c:pt>
              </c:strCache>
            </c:strRef>
          </c:cat>
          <c:val>
            <c:numRef>
              <c:f>Charts!$C$12:$G$12</c:f>
              <c:numCache>
                <c:formatCode>0.0%;\(0.0%\);\-</c:formatCode>
                <c:ptCount val="5"/>
                <c:pt idx="0">
                  <c:v>0.141043000210574</c:v>
                </c:pt>
                <c:pt idx="1">
                  <c:v>0.121009307498782</c:v>
                </c:pt>
                <c:pt idx="2">
                  <c:v>0.120548547775173</c:v>
                </c:pt>
                <c:pt idx="3">
                  <c:v>0.117139157560181</c:v>
                </c:pt>
                <c:pt idx="4">
                  <c:v>0.11</c:v>
                </c:pt>
              </c:numCache>
            </c:numRef>
          </c:val>
        </c:ser>
        <c:gapWidth val="150"/>
        <c:overlap val="100"/>
        <c:axId val="25069973"/>
        <c:axId val="27197187"/>
      </c:barChart>
      <c:catAx>
        <c:axId val="2506997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197187"/>
        <c:crosses val="autoZero"/>
        <c:auto val="1"/>
        <c:lblAlgn val="ctr"/>
        <c:lblOffset val="100"/>
        <c:noMultiLvlLbl val="0"/>
      </c:catAx>
      <c:valAx>
        <c:axId val="271971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Revenue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0699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FY2026 Sensitivity — EBITDA Impact by Scenario (Rs mn)</a:t>
            </a:r>
          </a:p>
        </c:rich>
      </c:tx>
      <c:overlay val="0"/>
      <c:spPr>
        <a:noFill/>
        <a:ln w="0">
          <a:noFill/>
        </a:ln>
      </c:spPr>
    </c:title>
    <c:autoTitleDeleted val="0"/>
    <c:plotArea>
      <c:barChart>
        <c:barDir val="bar"/>
        <c:grouping val="clustered"/>
        <c:varyColors val="0"/>
        <c:ser>
          <c:idx val="0"/>
          <c:order val="0"/>
          <c:tx>
            <c:strRef>
              <c:f>'Sensitivity Analysis'!E12</c:f>
              <c:strCache>
                <c:ptCount val="1"/>
                <c:pt idx="0">
                  <c:v>EBITDA Impact</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 Analysis'!$B$13:$B$15</c:f>
              <c:strCache>
                <c:ptCount val="3"/>
                <c:pt idx="0">
                  <c:v>1. Volume/Revenue growth 5pp lower than budgeted</c:v>
                </c:pt>
                <c:pt idx="1">
                  <c:v>2. Raw material cost 10% higher than budgeted</c:v>
                </c:pt>
                <c:pt idx="2">
                  <c:v>3. Employee cost 8% higher than budgeted (wage settlement / faster Kharkhoda hiring)</c:v>
                </c:pt>
              </c:strCache>
            </c:strRef>
          </c:cat>
          <c:val>
            <c:numRef>
              <c:f>'Sensitivity Analysis'!$E$13:$E$15</c:f>
              <c:numCache>
                <c:formatCode>#,##0;\(#,##0\);\-</c:formatCode>
                <c:ptCount val="3"/>
                <c:pt idx="0">
                  <c:v>-9937.10236800532</c:v>
                </c:pt>
                <c:pt idx="1">
                  <c:v>-120774.62490975</c:v>
                </c:pt>
                <c:pt idx="2">
                  <c:v>-6369.04052819987</c:v>
                </c:pt>
              </c:numCache>
            </c:numRef>
          </c:val>
        </c:ser>
        <c:gapWidth val="150"/>
        <c:overlap val="0"/>
        <c:axId val="85826433"/>
        <c:axId val="96440542"/>
      </c:barChart>
      <c:catAx>
        <c:axId val="8582643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440542"/>
        <c:crosses val="autoZero"/>
        <c:auto val="1"/>
        <c:lblAlgn val="ctr"/>
        <c:lblOffset val="100"/>
        <c:noMultiLvlLbl val="0"/>
      </c:catAx>
      <c:valAx>
        <c:axId val="96440542"/>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Rs million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8264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0</xdr:rowOff>
    </xdr:from>
    <xdr:to>
      <xdr:col>8</xdr:col>
      <xdr:colOff>88200</xdr:colOff>
      <xdr:row>31</xdr:row>
      <xdr:rowOff>720</xdr:rowOff>
    </xdr:to>
    <xdr:graphicFrame>
      <xdr:nvGraphicFramePr>
        <xdr:cNvPr id="0" name="Chart 1"/>
        <xdr:cNvGraphicFramePr/>
      </xdr:nvGraphicFramePr>
      <xdr:xfrm>
        <a:off x="141120" y="2886120"/>
        <a:ext cx="647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33</xdr:row>
      <xdr:rowOff>0</xdr:rowOff>
    </xdr:from>
    <xdr:to>
      <xdr:col>8</xdr:col>
      <xdr:colOff>88200</xdr:colOff>
      <xdr:row>50</xdr:row>
      <xdr:rowOff>720</xdr:rowOff>
    </xdr:to>
    <xdr:graphicFrame>
      <xdr:nvGraphicFramePr>
        <xdr:cNvPr id="1" name="Chart 2"/>
        <xdr:cNvGraphicFramePr/>
      </xdr:nvGraphicFramePr>
      <xdr:xfrm>
        <a:off x="141120" y="6505560"/>
        <a:ext cx="647928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52</xdr:row>
      <xdr:rowOff>0</xdr:rowOff>
    </xdr:from>
    <xdr:to>
      <xdr:col>8</xdr:col>
      <xdr:colOff>88200</xdr:colOff>
      <xdr:row>69</xdr:row>
      <xdr:rowOff>720</xdr:rowOff>
    </xdr:to>
    <xdr:graphicFrame>
      <xdr:nvGraphicFramePr>
        <xdr:cNvPr id="2" name="Chart 3"/>
        <xdr:cNvGraphicFramePr/>
      </xdr:nvGraphicFramePr>
      <xdr:xfrm>
        <a:off x="141120" y="10125000"/>
        <a:ext cx="647928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71</xdr:row>
      <xdr:rowOff>0</xdr:rowOff>
    </xdr:from>
    <xdr:to>
      <xdr:col>8</xdr:col>
      <xdr:colOff>88200</xdr:colOff>
      <xdr:row>88</xdr:row>
      <xdr:rowOff>720</xdr:rowOff>
    </xdr:to>
    <xdr:graphicFrame>
      <xdr:nvGraphicFramePr>
        <xdr:cNvPr id="3" name="Chart 4"/>
        <xdr:cNvGraphicFramePr/>
      </xdr:nvGraphicFramePr>
      <xdr:xfrm>
        <a:off x="141120" y="13744440"/>
        <a:ext cx="6479280" cy="323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3: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8"/>
    <col collapsed="false" customWidth="true" hidden="false" outlineLevel="0" max="3" min="3" style="1" width="60"/>
  </cols>
  <sheetData>
    <row r="3" customFormat="false" ht="24.45" hidden="false" customHeight="false" outlineLevel="0" collapsed="false">
      <c r="B3" s="2" t="s">
        <v>0</v>
      </c>
      <c r="C3" s="2"/>
    </row>
    <row r="4" customFormat="false" ht="17.35" hidden="false" customHeight="false" outlineLevel="0" collapsed="false">
      <c r="B4" s="3" t="s">
        <v>1</v>
      </c>
      <c r="C4" s="3"/>
    </row>
    <row r="5" customFormat="false" ht="15" hidden="false" customHeight="false" outlineLevel="0" collapsed="false">
      <c r="B5" s="4" t="s">
        <v>2</v>
      </c>
      <c r="C5" s="4"/>
    </row>
    <row r="8" customFormat="false" ht="15" hidden="false" customHeight="false" outlineLevel="0" collapsed="false">
      <c r="B8" s="5" t="s">
        <v>3</v>
      </c>
      <c r="C8" s="6" t="s">
        <v>4</v>
      </c>
    </row>
    <row r="9" customFormat="false" ht="15" hidden="false" customHeight="false" outlineLevel="0" collapsed="false">
      <c r="B9" s="5" t="s">
        <v>5</v>
      </c>
      <c r="C9" s="6" t="s">
        <v>6</v>
      </c>
    </row>
    <row r="10" customFormat="false" ht="15" hidden="false" customHeight="false" outlineLevel="0" collapsed="false">
      <c r="B10" s="5" t="s">
        <v>7</v>
      </c>
      <c r="C10" s="6" t="s">
        <v>8</v>
      </c>
    </row>
    <row r="11" customFormat="false" ht="15" hidden="false" customHeight="false" outlineLevel="0" collapsed="false">
      <c r="B11" s="5" t="s">
        <v>9</v>
      </c>
      <c r="C11" s="6" t="s">
        <v>10</v>
      </c>
    </row>
    <row r="12" customFormat="false" ht="15" hidden="false" customHeight="false" outlineLevel="0" collapsed="false">
      <c r="B12" s="5" t="s">
        <v>11</v>
      </c>
      <c r="C12" s="6" t="s">
        <v>12</v>
      </c>
    </row>
    <row r="13" customFormat="false" ht="15" hidden="false" customHeight="false" outlineLevel="0" collapsed="false">
      <c r="B13" s="5" t="s">
        <v>13</v>
      </c>
      <c r="C13" s="6" t="s">
        <v>14</v>
      </c>
    </row>
    <row r="14" customFormat="false" ht="15" hidden="false" customHeight="false" outlineLevel="0" collapsed="false">
      <c r="B14" s="5" t="s">
        <v>15</v>
      </c>
      <c r="C14" s="6" t="s">
        <v>16</v>
      </c>
    </row>
    <row r="16" customFormat="false" ht="15" hidden="false" customHeight="false" outlineLevel="0" collapsed="false">
      <c r="B16" s="7" t="s">
        <v>17</v>
      </c>
    </row>
    <row r="17" customFormat="false" ht="15" hidden="false" customHeight="false" outlineLevel="0" collapsed="false">
      <c r="B17" s="6" t="s">
        <v>18</v>
      </c>
    </row>
    <row r="18" customFormat="false" ht="15" hidden="false" customHeight="false" outlineLevel="0" collapsed="false">
      <c r="B18" s="6" t="s">
        <v>19</v>
      </c>
    </row>
    <row r="19" customFormat="false" ht="15" hidden="false" customHeight="false" outlineLevel="0" collapsed="false">
      <c r="B19" s="6" t="s">
        <v>20</v>
      </c>
    </row>
    <row r="20" customFormat="false" ht="15" hidden="false" customHeight="false" outlineLevel="0" collapsed="false">
      <c r="B20" s="6" t="s">
        <v>21</v>
      </c>
    </row>
    <row r="21" customFormat="false" ht="15" hidden="false" customHeight="false" outlineLevel="0" collapsed="false">
      <c r="B21" s="6" t="s">
        <v>22</v>
      </c>
    </row>
    <row r="22" customFormat="false" ht="15" hidden="false" customHeight="false" outlineLevel="0" collapsed="false">
      <c r="B22" s="6" t="s">
        <v>23</v>
      </c>
    </row>
    <row r="23" customFormat="false" ht="15" hidden="false" customHeight="false" outlineLevel="0" collapsed="false">
      <c r="B23" s="6" t="s">
        <v>24</v>
      </c>
    </row>
    <row r="24" customFormat="false" ht="15" hidden="false" customHeight="false" outlineLevel="0" collapsed="false">
      <c r="B24" s="6" t="s">
        <v>25</v>
      </c>
    </row>
    <row r="25" customFormat="false" ht="15" hidden="false" customHeight="false" outlineLevel="0" collapsed="false">
      <c r="B25" s="6" t="s">
        <v>26</v>
      </c>
    </row>
    <row r="26" customFormat="false" ht="15" hidden="false" customHeight="false" outlineLevel="0" collapsed="false">
      <c r="B26" s="6" t="s">
        <v>27</v>
      </c>
    </row>
    <row r="28" customFormat="false" ht="15" hidden="false" customHeight="false" outlineLevel="0" collapsed="false">
      <c r="B28" s="8" t="s">
        <v>28</v>
      </c>
      <c r="C28" s="8"/>
    </row>
    <row r="29" customFormat="false" ht="15" hidden="false" customHeight="true" outlineLevel="0" collapsed="false">
      <c r="B29" s="9" t="s">
        <v>29</v>
      </c>
      <c r="C29" s="9"/>
    </row>
    <row r="30" customFormat="false" ht="15" hidden="false" customHeight="false" outlineLevel="0" collapsed="false">
      <c r="B30" s="9"/>
      <c r="C30" s="9"/>
    </row>
    <row r="31" customFormat="false" ht="15" hidden="false" customHeight="false" outlineLevel="0" collapsed="false">
      <c r="B31" s="9"/>
      <c r="C31" s="9"/>
    </row>
    <row r="32" customFormat="false" ht="15" hidden="false" customHeight="false" outlineLevel="0" collapsed="false">
      <c r="B32" s="9"/>
      <c r="C32" s="9"/>
    </row>
    <row r="33" customFormat="false" ht="15" hidden="false" customHeight="false" outlineLevel="0" collapsed="false">
      <c r="B33" s="9"/>
      <c r="C33" s="9"/>
    </row>
    <row r="34" customFormat="false" ht="15" hidden="false" customHeight="false" outlineLevel="0" collapsed="false">
      <c r="B34" s="9"/>
      <c r="C34" s="9"/>
    </row>
    <row r="35" customFormat="false" ht="15" hidden="false" customHeight="false" outlineLevel="0" collapsed="false">
      <c r="B35" s="9"/>
      <c r="C35" s="9"/>
    </row>
  </sheetData>
  <mergeCells count="5">
    <mergeCell ref="B3:C3"/>
    <mergeCell ref="B4:C4"/>
    <mergeCell ref="B5:C5"/>
    <mergeCell ref="B28:C28"/>
    <mergeCell ref="B29:C3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6" min="3" style="1" width="13"/>
    <col collapsed="false" customWidth="true" hidden="false" outlineLevel="0" max="7" min="7" style="1" width="4"/>
    <col collapsed="false" customWidth="true" hidden="false" outlineLevel="0" max="8" min="8" style="1" width="46"/>
  </cols>
  <sheetData>
    <row r="1" customFormat="false" ht="21.75" hidden="false" customHeight="true" outlineLevel="0" collapsed="false">
      <c r="A1" s="10" t="s">
        <v>30</v>
      </c>
      <c r="B1" s="10"/>
      <c r="C1" s="10"/>
      <c r="D1" s="10"/>
      <c r="E1" s="10"/>
      <c r="F1" s="10"/>
      <c r="G1" s="10"/>
      <c r="H1" s="10"/>
    </row>
    <row r="2" customFormat="false" ht="15" hidden="false" customHeight="false" outlineLevel="0" collapsed="false">
      <c r="A2" s="11" t="s">
        <v>31</v>
      </c>
      <c r="B2" s="11"/>
      <c r="C2" s="11"/>
      <c r="D2" s="11"/>
      <c r="E2" s="11"/>
      <c r="F2" s="11"/>
      <c r="G2" s="11"/>
      <c r="H2" s="11"/>
    </row>
    <row r="4" customFormat="false" ht="25.5" hidden="false" customHeight="true" outlineLevel="0" collapsed="false">
      <c r="B4" s="12" t="s">
        <v>32</v>
      </c>
      <c r="C4" s="13" t="s">
        <v>33</v>
      </c>
      <c r="D4" s="13" t="s">
        <v>34</v>
      </c>
      <c r="E4" s="13" t="s">
        <v>35</v>
      </c>
      <c r="F4" s="13" t="s">
        <v>36</v>
      </c>
      <c r="G4" s="13"/>
      <c r="H4" s="13" t="s">
        <v>37</v>
      </c>
    </row>
    <row r="5" customFormat="false" ht="15.75" hidden="false" customHeight="true" outlineLevel="0" collapsed="false">
      <c r="A5" s="14" t="s">
        <v>38</v>
      </c>
      <c r="B5" s="14"/>
      <c r="C5" s="14"/>
      <c r="D5" s="14"/>
      <c r="E5" s="14"/>
      <c r="F5" s="14"/>
      <c r="G5" s="14"/>
      <c r="H5" s="14"/>
    </row>
    <row r="6" customFormat="false" ht="19.4" hidden="false" customHeight="false" outlineLevel="0" collapsed="false">
      <c r="B6" s="6" t="s">
        <v>39</v>
      </c>
      <c r="C6" s="15" t="n">
        <v>883298</v>
      </c>
      <c r="D6" s="15" t="n">
        <v>1184099</v>
      </c>
      <c r="E6" s="15" t="n">
        <v>1418582</v>
      </c>
      <c r="F6" s="15" t="n">
        <v>1529130</v>
      </c>
      <c r="H6" s="16" t="s">
        <v>40</v>
      </c>
    </row>
    <row r="7" customFormat="false" ht="37.3" hidden="false" customHeight="false" outlineLevel="0" collapsed="false">
      <c r="B7" s="6" t="s">
        <v>41</v>
      </c>
      <c r="C7" s="15" t="n">
        <v>661183</v>
      </c>
      <c r="D7" s="15" t="n">
        <v>857380</v>
      </c>
      <c r="E7" s="15" t="n">
        <v>999664</v>
      </c>
      <c r="F7" s="15" t="n">
        <v>1079530</v>
      </c>
      <c r="H7" s="16" t="s">
        <v>42</v>
      </c>
    </row>
    <row r="8" customFormat="false" ht="19.4" hidden="false" customHeight="false" outlineLevel="0" collapsed="false">
      <c r="B8" s="6" t="s">
        <v>43</v>
      </c>
      <c r="C8" s="15" t="n">
        <v>40470</v>
      </c>
      <c r="D8" s="15" t="n">
        <v>52488</v>
      </c>
      <c r="E8" s="15" t="n">
        <v>62647</v>
      </c>
      <c r="F8" s="15" t="n">
        <v>68916</v>
      </c>
      <c r="H8" s="16" t="s">
        <v>44</v>
      </c>
    </row>
    <row r="9" customFormat="false" ht="28.35" hidden="false" customHeight="false" outlineLevel="0" collapsed="false">
      <c r="B9" s="6" t="s">
        <v>45</v>
      </c>
      <c r="C9" s="15" t="n">
        <v>124583</v>
      </c>
      <c r="D9" s="15" t="n">
        <v>143287</v>
      </c>
      <c r="E9" s="15" t="n">
        <v>171008</v>
      </c>
      <c r="F9" s="15" t="n">
        <v>179121</v>
      </c>
      <c r="H9" s="16" t="s">
        <v>46</v>
      </c>
    </row>
    <row r="10" customFormat="false" ht="19.4" hidden="false" customHeight="false" outlineLevel="0" collapsed="false">
      <c r="B10" s="17" t="s">
        <v>47</v>
      </c>
      <c r="C10" s="18" t="n">
        <f aca="false">SUM(C7:C9)</f>
        <v>826236</v>
      </c>
      <c r="D10" s="18" t="n">
        <f aca="false">SUM(D7:D9)</f>
        <v>1053155</v>
      </c>
      <c r="E10" s="18" t="n">
        <f aca="false">SUM(E7:E9)</f>
        <v>1233319</v>
      </c>
      <c r="F10" s="18" t="n">
        <f aca="false">SUM(F7:F9)</f>
        <v>1327567</v>
      </c>
      <c r="H10" s="16" t="s">
        <v>48</v>
      </c>
    </row>
    <row r="11" customFormat="false" ht="19.4" hidden="false" customHeight="false" outlineLevel="0" collapsed="false">
      <c r="B11" s="5" t="s">
        <v>49</v>
      </c>
      <c r="C11" s="19" t="n">
        <f aca="false">C6-C10</f>
        <v>57062</v>
      </c>
      <c r="D11" s="19" t="n">
        <f aca="false">D6-D10</f>
        <v>130944</v>
      </c>
      <c r="E11" s="19" t="n">
        <f aca="false">E6-E10</f>
        <v>185263</v>
      </c>
      <c r="F11" s="19" t="n">
        <f aca="false">F6-F10</f>
        <v>201563</v>
      </c>
      <c r="H11" s="16" t="s">
        <v>50</v>
      </c>
    </row>
    <row r="12" customFormat="false" ht="15" hidden="false" customHeight="false" outlineLevel="0" collapsed="false">
      <c r="B12" s="6" t="s">
        <v>51</v>
      </c>
      <c r="C12" s="20" t="n">
        <f aca="false">C11/C6</f>
        <v>0.0646010746090221</v>
      </c>
      <c r="D12" s="20" t="n">
        <f aca="false">D11/D6</f>
        <v>0.110585348015664</v>
      </c>
      <c r="E12" s="20" t="n">
        <f aca="false">E11/E6</f>
        <v>0.130597314783354</v>
      </c>
      <c r="F12" s="20" t="n">
        <f aca="false">F11/F6</f>
        <v>0.131815476774375</v>
      </c>
      <c r="H12" s="16" t="s">
        <v>52</v>
      </c>
    </row>
    <row r="13" customFormat="false" ht="15" hidden="false" customHeight="false" outlineLevel="0" collapsed="false">
      <c r="B13" s="6" t="s">
        <v>53</v>
      </c>
      <c r="C13" s="15" t="n">
        <v>27890</v>
      </c>
      <c r="D13" s="15" t="n">
        <v>48460</v>
      </c>
      <c r="E13" s="15" t="n">
        <v>52558</v>
      </c>
      <c r="F13" s="15" t="n">
        <v>56082</v>
      </c>
      <c r="H13" s="16" t="s">
        <v>54</v>
      </c>
    </row>
    <row r="14" customFormat="false" ht="15" hidden="false" customHeight="false" outlineLevel="0" collapsed="false">
      <c r="B14" s="17" t="s">
        <v>55</v>
      </c>
      <c r="C14" s="18" t="n">
        <f aca="false">C11-C13</f>
        <v>29172</v>
      </c>
      <c r="D14" s="18" t="n">
        <f aca="false">D11-D13</f>
        <v>82484</v>
      </c>
      <c r="E14" s="18" t="n">
        <f aca="false">E11-E13</f>
        <v>132705</v>
      </c>
      <c r="F14" s="18" t="n">
        <f aca="false">F11-F13</f>
        <v>145481</v>
      </c>
    </row>
    <row r="15" customFormat="false" ht="15" hidden="false" customHeight="false" outlineLevel="0" collapsed="false">
      <c r="B15" s="6" t="s">
        <v>56</v>
      </c>
      <c r="C15" s="15" t="n">
        <v>17447</v>
      </c>
      <c r="D15" s="15" t="n">
        <v>22647</v>
      </c>
      <c r="E15" s="15" t="n">
        <v>40935</v>
      </c>
      <c r="F15" s="15" t="n">
        <v>50222</v>
      </c>
      <c r="H15" s="16" t="s">
        <v>57</v>
      </c>
    </row>
    <row r="16" customFormat="false" ht="15" hidden="false" customHeight="false" outlineLevel="0" collapsed="false">
      <c r="B16" s="6" t="s">
        <v>58</v>
      </c>
      <c r="C16" s="15" t="n">
        <v>1266</v>
      </c>
      <c r="D16" s="15" t="n">
        <v>2523</v>
      </c>
      <c r="E16" s="15" t="n">
        <v>1936</v>
      </c>
      <c r="F16" s="15" t="n">
        <v>1942</v>
      </c>
    </row>
    <row r="17" customFormat="false" ht="15" hidden="false" customHeight="false" outlineLevel="0" collapsed="false">
      <c r="B17" s="6" t="s">
        <v>59</v>
      </c>
      <c r="C17" s="15" t="n">
        <v>1464</v>
      </c>
      <c r="D17" s="15" t="n">
        <v>1558</v>
      </c>
      <c r="E17" s="15" t="n">
        <v>2263</v>
      </c>
      <c r="F17" s="15" t="n">
        <v>2152</v>
      </c>
    </row>
    <row r="18" customFormat="false" ht="15" hidden="false" customHeight="false" outlineLevel="0" collapsed="false">
      <c r="B18" s="6" t="s">
        <v>60</v>
      </c>
      <c r="C18" s="15" t="n">
        <v>155</v>
      </c>
      <c r="D18" s="15" t="n">
        <v>216</v>
      </c>
      <c r="E18" s="15" t="n">
        <v>278</v>
      </c>
      <c r="F18" s="15" t="n">
        <v>287</v>
      </c>
    </row>
    <row r="19" customFormat="false" ht="19.4" hidden="false" customHeight="false" outlineLevel="0" collapsed="false">
      <c r="B19" s="17" t="s">
        <v>61</v>
      </c>
      <c r="C19" s="18" t="n">
        <f aca="false">C14+C15-C16+C17+C18</f>
        <v>46972</v>
      </c>
      <c r="D19" s="18" t="n">
        <f aca="false">D14+D15-D16+D17+D18</f>
        <v>104382</v>
      </c>
      <c r="E19" s="18" t="n">
        <f aca="false">E14+E15-E16+E17+E18</f>
        <v>174245</v>
      </c>
      <c r="F19" s="18" t="n">
        <f aca="false">F14+F15-F16+F17+F18</f>
        <v>196200</v>
      </c>
      <c r="H19" s="16" t="s">
        <v>62</v>
      </c>
    </row>
    <row r="20" customFormat="false" ht="15" hidden="false" customHeight="false" outlineLevel="0" collapsed="false">
      <c r="B20" s="6" t="s">
        <v>63</v>
      </c>
      <c r="C20" s="15" t="n">
        <v>8177</v>
      </c>
      <c r="D20" s="15" t="n">
        <v>21745</v>
      </c>
      <c r="E20" s="15" t="n">
        <v>39363</v>
      </c>
      <c r="F20" s="15" t="n">
        <v>51198</v>
      </c>
    </row>
    <row r="21" customFormat="false" ht="19.4" hidden="false" customHeight="false" outlineLevel="0" collapsed="false">
      <c r="B21" s="17" t="s">
        <v>64</v>
      </c>
      <c r="C21" s="18" t="n">
        <f aca="false">C19-C20</f>
        <v>38795</v>
      </c>
      <c r="D21" s="18" t="n">
        <f aca="false">D19-D20</f>
        <v>82637</v>
      </c>
      <c r="E21" s="18" t="n">
        <f aca="false">E19-E20</f>
        <v>134882</v>
      </c>
      <c r="F21" s="18" t="n">
        <f aca="false">F19-F20</f>
        <v>145002</v>
      </c>
      <c r="H21" s="16" t="s">
        <v>65</v>
      </c>
    </row>
    <row r="22" customFormat="false" ht="15" hidden="false" customHeight="false" outlineLevel="0" collapsed="false">
      <c r="B22" s="6" t="s">
        <v>66</v>
      </c>
      <c r="C22" s="20" t="n">
        <f aca="false">C21/C6</f>
        <v>0.0439206247495183</v>
      </c>
      <c r="D22" s="20" t="n">
        <f aca="false">D21/D6</f>
        <v>0.0697889281217196</v>
      </c>
      <c r="E22" s="20" t="n">
        <f aca="false">E21/E6</f>
        <v>0.0950822722972659</v>
      </c>
      <c r="F22" s="20" t="n">
        <f aca="false">F21/F6</f>
        <v>0.094826469953503</v>
      </c>
    </row>
    <row r="24" customFormat="false" ht="15" hidden="false" customHeight="false" outlineLevel="0" collapsed="false">
      <c r="B24" s="6" t="s">
        <v>67</v>
      </c>
      <c r="C24" s="20" t="n">
        <f aca="false">C20/C19</f>
        <v>0.174082432087201</v>
      </c>
      <c r="D24" s="20" t="n">
        <f aca="false">D20/D19</f>
        <v>0.208321358088559</v>
      </c>
      <c r="E24" s="20" t="n">
        <f aca="false">E20/E19</f>
        <v>0.225906051823582</v>
      </c>
      <c r="F24" s="20" t="n">
        <f aca="false">F20/F19</f>
        <v>0.260948012232416</v>
      </c>
    </row>
    <row r="25" customFormat="false" ht="15" hidden="false" customHeight="false" outlineLevel="0" collapsed="false">
      <c r="B25" s="6" t="s">
        <v>68</v>
      </c>
      <c r="C25" s="15" t="n">
        <v>3129</v>
      </c>
      <c r="D25" s="15" t="n">
        <v>586</v>
      </c>
      <c r="E25" s="15" t="n">
        <v>2669</v>
      </c>
      <c r="F25" s="15" t="n">
        <v>337</v>
      </c>
    </row>
    <row r="26" customFormat="false" ht="15" hidden="false" customHeight="false" outlineLevel="0" collapsed="false">
      <c r="B26" s="6" t="s">
        <v>69</v>
      </c>
      <c r="C26" s="15" t="n">
        <v>13594</v>
      </c>
      <c r="D26" s="15" t="n">
        <v>18125</v>
      </c>
      <c r="E26" s="15" t="n">
        <v>27187</v>
      </c>
      <c r="F26" s="15" t="n">
        <v>39300</v>
      </c>
    </row>
    <row r="27" customFormat="false" ht="15" hidden="false" customHeight="false" outlineLevel="0" collapsed="false">
      <c r="B27" s="17" t="s">
        <v>70</v>
      </c>
      <c r="C27" s="18" t="n">
        <f aca="false">C21+C25-C26</f>
        <v>28330</v>
      </c>
      <c r="D27" s="18" t="n">
        <f aca="false">D21+D25-D26</f>
        <v>65098</v>
      </c>
      <c r="E27" s="18" t="n">
        <f aca="false">E21+E25-E26</f>
        <v>110364</v>
      </c>
      <c r="F27" s="18" t="n">
        <f aca="false">F21+F25-F26</f>
        <v>106039</v>
      </c>
    </row>
    <row r="28" customFormat="false" ht="15" hidden="false" customHeight="false" outlineLevel="0" collapsed="false">
      <c r="B28" s="6" t="s">
        <v>71</v>
      </c>
      <c r="C28" s="20" t="n">
        <f aca="false">C26/C21</f>
        <v>0.350405980152081</v>
      </c>
      <c r="D28" s="20" t="n">
        <f aca="false">D26/D21</f>
        <v>0.219332744412309</v>
      </c>
      <c r="E28" s="20" t="n">
        <f aca="false">E26/E21</f>
        <v>0.201561364748447</v>
      </c>
      <c r="F28" s="20" t="n">
        <f aca="false">F26/F21</f>
        <v>0.271030744403526</v>
      </c>
    </row>
    <row r="30" customFormat="false" ht="15.75" hidden="false" customHeight="true" outlineLevel="0" collapsed="false">
      <c r="A30" s="14" t="s">
        <v>72</v>
      </c>
      <c r="B30" s="14"/>
      <c r="C30" s="14"/>
      <c r="D30" s="14"/>
      <c r="E30" s="14"/>
      <c r="F30" s="14"/>
      <c r="G30" s="14"/>
      <c r="H30" s="14"/>
    </row>
    <row r="31" customFormat="false" ht="15" hidden="false" customHeight="false" outlineLevel="0" collapsed="false">
      <c r="B31" s="6" t="s">
        <v>73</v>
      </c>
      <c r="C31" s="15" t="n">
        <v>553335</v>
      </c>
      <c r="D31" s="15" t="n">
        <v>746002</v>
      </c>
      <c r="E31" s="15" t="n">
        <v>856360</v>
      </c>
      <c r="F31" s="15" t="n">
        <v>962399</v>
      </c>
      <c r="H31" s="16" t="s">
        <v>74</v>
      </c>
    </row>
    <row r="32" customFormat="false" ht="15" hidden="false" customHeight="false" outlineLevel="0" collapsed="false">
      <c r="B32" s="6" t="s">
        <v>75</v>
      </c>
      <c r="C32" s="15" t="n">
        <v>4255</v>
      </c>
      <c r="D32" s="15" t="n">
        <v>12476</v>
      </c>
      <c r="E32" s="15" t="n">
        <v>1186</v>
      </c>
      <c r="F32" s="15" t="n">
        <v>870</v>
      </c>
    </row>
    <row r="33" customFormat="false" ht="19.4" hidden="false" customHeight="false" outlineLevel="0" collapsed="false">
      <c r="B33" s="6" t="s">
        <v>76</v>
      </c>
      <c r="C33" s="15" t="n">
        <v>22656</v>
      </c>
      <c r="D33" s="15" t="n">
        <v>29935</v>
      </c>
      <c r="E33" s="15" t="n">
        <v>36953</v>
      </c>
      <c r="F33" s="15" t="n">
        <v>51028</v>
      </c>
      <c r="H33" s="16" t="s">
        <v>77</v>
      </c>
    </row>
    <row r="34" customFormat="false" ht="15" hidden="false" customHeight="false" outlineLevel="0" collapsed="false">
      <c r="B34" s="17" t="s">
        <v>78</v>
      </c>
      <c r="C34" s="18" t="n">
        <f aca="false">SUM(C31:C33)</f>
        <v>580246</v>
      </c>
      <c r="D34" s="18" t="n">
        <f aca="false">SUM(D31:D33)</f>
        <v>788413</v>
      </c>
      <c r="E34" s="18" t="n">
        <f aca="false">SUM(E31:E33)</f>
        <v>894499</v>
      </c>
      <c r="F34" s="18" t="n">
        <f aca="false">SUM(F31:F33)</f>
        <v>1014297</v>
      </c>
    </row>
    <row r="36" customFormat="false" ht="15" hidden="false" customHeight="false" outlineLevel="0" collapsed="false">
      <c r="B36" s="6" t="s">
        <v>79</v>
      </c>
      <c r="C36" s="15" t="n">
        <v>160435</v>
      </c>
      <c r="D36" s="15" t="n">
        <v>314476</v>
      </c>
      <c r="E36" s="15" t="n">
        <v>349154</v>
      </c>
      <c r="F36" s="15" t="n">
        <v>400198</v>
      </c>
    </row>
    <row r="37" customFormat="false" ht="15" hidden="false" customHeight="false" outlineLevel="0" collapsed="false">
      <c r="B37" s="6" t="s">
        <v>80</v>
      </c>
      <c r="C37" s="15" t="n">
        <v>6402</v>
      </c>
      <c r="D37" s="15" t="n">
        <v>6368</v>
      </c>
      <c r="E37" s="15" t="n">
        <v>6842</v>
      </c>
      <c r="F37" s="15" t="n">
        <v>8919</v>
      </c>
    </row>
    <row r="38" customFormat="false" ht="19.4" hidden="false" customHeight="false" outlineLevel="0" collapsed="false">
      <c r="B38" s="6" t="s">
        <v>81</v>
      </c>
      <c r="C38" s="15" t="n">
        <v>420347</v>
      </c>
      <c r="D38" s="15" t="n">
        <v>491843</v>
      </c>
      <c r="E38" s="15" t="n">
        <v>572960</v>
      </c>
      <c r="F38" s="15" t="n">
        <v>662654</v>
      </c>
      <c r="H38" s="16" t="s">
        <v>82</v>
      </c>
    </row>
    <row r="39" customFormat="false" ht="15" hidden="false" customHeight="false" outlineLevel="0" collapsed="false">
      <c r="B39" s="6" t="s">
        <v>83</v>
      </c>
      <c r="C39" s="15" t="n">
        <v>32438</v>
      </c>
      <c r="D39" s="15" t="n">
        <v>34475</v>
      </c>
      <c r="E39" s="15" t="n">
        <v>37336</v>
      </c>
      <c r="F39" s="15" t="n">
        <v>36081</v>
      </c>
    </row>
    <row r="40" customFormat="false" ht="15" hidden="false" customHeight="false" outlineLevel="0" collapsed="false">
      <c r="B40" s="6" t="s">
        <v>84</v>
      </c>
      <c r="C40" s="15" t="n">
        <v>30422</v>
      </c>
      <c r="D40" s="15" t="n">
        <v>27485</v>
      </c>
      <c r="E40" s="15" t="n">
        <v>28274</v>
      </c>
      <c r="F40" s="15" t="n">
        <v>5529</v>
      </c>
    </row>
    <row r="41" customFormat="false" ht="37.3" hidden="false" customHeight="false" outlineLevel="0" collapsed="false">
      <c r="B41" s="6" t="s">
        <v>85</v>
      </c>
      <c r="C41" s="15" t="n">
        <v>-69798</v>
      </c>
      <c r="D41" s="15" t="n">
        <v>-86234</v>
      </c>
      <c r="E41" s="15" t="n">
        <v>-100067</v>
      </c>
      <c r="F41" s="15" t="n">
        <v>-99084</v>
      </c>
      <c r="H41" s="16" t="s">
        <v>86</v>
      </c>
    </row>
    <row r="42" customFormat="false" ht="15" hidden="false" customHeight="false" outlineLevel="0" collapsed="false">
      <c r="B42" s="17" t="s">
        <v>87</v>
      </c>
      <c r="C42" s="18" t="n">
        <f aca="false">SUM(C36:C41)</f>
        <v>580246</v>
      </c>
      <c r="D42" s="18" t="n">
        <f aca="false">SUM(D36:D41)</f>
        <v>788413</v>
      </c>
      <c r="E42" s="18" t="n">
        <f aca="false">SUM(E36:E41)</f>
        <v>894499</v>
      </c>
      <c r="F42" s="18" t="n">
        <f aca="false">SUM(F36:F41)</f>
        <v>1014297</v>
      </c>
    </row>
    <row r="43" customFormat="false" ht="15" hidden="false" customHeight="false" outlineLevel="0" collapsed="false">
      <c r="B43" s="6" t="s">
        <v>88</v>
      </c>
      <c r="C43" s="21" t="n">
        <f aca="false">C42-C34</f>
        <v>0</v>
      </c>
      <c r="D43" s="21" t="n">
        <f aca="false">D42-D34</f>
        <v>0</v>
      </c>
      <c r="E43" s="21" t="n">
        <f aca="false">E42-E34</f>
        <v>0</v>
      </c>
      <c r="F43" s="21" t="n">
        <f aca="false">F42-F34</f>
        <v>0</v>
      </c>
    </row>
    <row r="45" customFormat="false" ht="15.75" hidden="false" customHeight="true" outlineLevel="0" collapsed="false">
      <c r="A45" s="14" t="s">
        <v>89</v>
      </c>
      <c r="B45" s="14"/>
      <c r="C45" s="14"/>
      <c r="D45" s="14"/>
      <c r="E45" s="14"/>
      <c r="F45" s="14"/>
      <c r="G45" s="14"/>
      <c r="H45" s="14"/>
    </row>
    <row r="46" customFormat="false" ht="15" hidden="false" customHeight="false" outlineLevel="0" collapsed="false">
      <c r="B46" s="22" t="s">
        <v>32</v>
      </c>
      <c r="C46" s="23"/>
      <c r="D46" s="24" t="s">
        <v>34</v>
      </c>
      <c r="E46" s="24" t="s">
        <v>35</v>
      </c>
      <c r="F46" s="24" t="s">
        <v>36</v>
      </c>
    </row>
    <row r="47" customFormat="false" ht="19.4" hidden="false" customHeight="false" outlineLevel="0" collapsed="false">
      <c r="B47" s="5" t="s">
        <v>90</v>
      </c>
      <c r="D47" s="25" t="n">
        <v>1966164</v>
      </c>
      <c r="E47" s="25" t="n">
        <v>2135323</v>
      </c>
      <c r="F47" s="25" t="n">
        <v>2234266</v>
      </c>
      <c r="H47" s="16" t="s">
        <v>91</v>
      </c>
    </row>
    <row r="48" customFormat="false" ht="15" hidden="false" customHeight="false" outlineLevel="0" collapsed="false">
      <c r="B48" s="6" t="s">
        <v>92</v>
      </c>
      <c r="D48" s="26"/>
      <c r="E48" s="25" t="n">
        <v>1852256</v>
      </c>
      <c r="F48" s="25" t="n">
        <v>1901681</v>
      </c>
    </row>
    <row r="49" customFormat="false" ht="15" hidden="false" customHeight="false" outlineLevel="0" collapsed="false">
      <c r="B49" s="6" t="s">
        <v>93</v>
      </c>
      <c r="D49" s="26"/>
      <c r="E49" s="25" t="n">
        <v>283067</v>
      </c>
      <c r="F49" s="25" t="n">
        <v>332585</v>
      </c>
    </row>
    <row r="50" customFormat="false" ht="15" hidden="false" customHeight="false" outlineLevel="0" collapsed="false">
      <c r="B50" s="6" t="s">
        <v>94</v>
      </c>
      <c r="D50" s="21" t="n">
        <f aca="false">D6</f>
        <v>1184099</v>
      </c>
      <c r="E50" s="21" t="n">
        <f aca="false">E6</f>
        <v>1418582</v>
      </c>
      <c r="F50" s="21" t="n">
        <f aca="false">F6</f>
        <v>1529130</v>
      </c>
    </row>
    <row r="51" customFormat="false" ht="28.35" hidden="false" customHeight="false" outlineLevel="0" collapsed="false">
      <c r="B51" s="5" t="s">
        <v>95</v>
      </c>
      <c r="D51" s="27" t="n">
        <f aca="false">D50*1000000/D47</f>
        <v>602238.165280211</v>
      </c>
      <c r="E51" s="27" t="n">
        <f aca="false">E50*1000000/E47</f>
        <v>664340.710983772</v>
      </c>
      <c r="F51" s="27" t="n">
        <f aca="false">F50*1000000/F47</f>
        <v>684399.261323406</v>
      </c>
      <c r="H51" s="16" t="s">
        <v>96</v>
      </c>
    </row>
    <row r="52" customFormat="false" ht="15" hidden="false" customHeight="false" outlineLevel="0" collapsed="false">
      <c r="B52" s="6" t="s">
        <v>97</v>
      </c>
      <c r="D52" s="28"/>
      <c r="E52" s="20" t="n">
        <f aca="false">E47/D47-1</f>
        <v>0.086035040820603</v>
      </c>
      <c r="F52" s="20" t="n">
        <f aca="false">F47/E47-1</f>
        <v>0.046336315395844</v>
      </c>
    </row>
    <row r="53" customFormat="false" ht="15" hidden="false" customHeight="false" outlineLevel="0" collapsed="false">
      <c r="B53" s="6" t="s">
        <v>98</v>
      </c>
      <c r="D53" s="28"/>
      <c r="E53" s="20" t="n">
        <f aca="false">E51/D51-1</f>
        <v>0.103119578405772</v>
      </c>
      <c r="F53" s="20" t="n">
        <f aca="false">F51/E51-1</f>
        <v>0.0301931674636209</v>
      </c>
    </row>
    <row r="54" customFormat="false" ht="15" hidden="false" customHeight="false" outlineLevel="0" collapsed="false">
      <c r="B54" s="5" t="s">
        <v>99</v>
      </c>
      <c r="D54" s="28"/>
      <c r="E54" s="29" t="n">
        <f aca="false">E50/D50-1</f>
        <v>0.198026516363919</v>
      </c>
      <c r="F54" s="29" t="n">
        <f aca="false">F50/E50-1</f>
        <v>0.077928522989859</v>
      </c>
    </row>
    <row r="57" customFormat="false" ht="15.75" hidden="false" customHeight="true" outlineLevel="0" collapsed="false">
      <c r="A57" s="14" t="s">
        <v>100</v>
      </c>
      <c r="B57" s="14"/>
      <c r="C57" s="14"/>
      <c r="D57" s="14"/>
      <c r="E57" s="14"/>
      <c r="F57" s="14"/>
      <c r="G57" s="14"/>
      <c r="H57" s="14"/>
    </row>
    <row r="58" customFormat="false" ht="27.75" hidden="false" customHeight="true" outlineLevel="0" collapsed="false">
      <c r="B58" s="30" t="s">
        <v>101</v>
      </c>
      <c r="C58" s="30"/>
      <c r="D58" s="30"/>
      <c r="E58" s="30"/>
      <c r="F58" s="30"/>
      <c r="G58" s="30"/>
      <c r="H58" s="30"/>
    </row>
    <row r="59" customFormat="false" ht="27.75" hidden="false" customHeight="true" outlineLevel="0" collapsed="false">
      <c r="B59" s="30" t="s">
        <v>102</v>
      </c>
      <c r="C59" s="30"/>
      <c r="D59" s="30"/>
      <c r="E59" s="30"/>
      <c r="F59" s="30"/>
      <c r="G59" s="30"/>
      <c r="H59" s="30"/>
    </row>
    <row r="60" customFormat="false" ht="27.75" hidden="false" customHeight="true" outlineLevel="0" collapsed="false">
      <c r="B60" s="30" t="s">
        <v>103</v>
      </c>
      <c r="C60" s="30"/>
      <c r="D60" s="30"/>
      <c r="E60" s="30"/>
      <c r="F60" s="30"/>
      <c r="G60" s="30"/>
      <c r="H60" s="30"/>
    </row>
    <row r="61" customFormat="false" ht="27.75" hidden="false" customHeight="true" outlineLevel="0" collapsed="false">
      <c r="B61" s="30" t="s">
        <v>104</v>
      </c>
      <c r="C61" s="30"/>
      <c r="D61" s="30"/>
      <c r="E61" s="30"/>
      <c r="F61" s="30"/>
      <c r="G61" s="30"/>
      <c r="H61" s="30"/>
    </row>
  </sheetData>
  <mergeCells count="10">
    <mergeCell ref="A1:H1"/>
    <mergeCell ref="A2:H2"/>
    <mergeCell ref="A5:H5"/>
    <mergeCell ref="A30:H30"/>
    <mergeCell ref="A45:H45"/>
    <mergeCell ref="A57:H57"/>
    <mergeCell ref="B58:H58"/>
    <mergeCell ref="B59:H59"/>
    <mergeCell ref="B60:H60"/>
    <mergeCell ref="B61:H6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5" min="3" style="1" width="13"/>
    <col collapsed="false" customWidth="true" hidden="false" outlineLevel="0" max="6" min="6" style="1" width="34"/>
    <col collapsed="false" customWidth="true" hidden="false" outlineLevel="0" max="7" min="7" style="1" width="42"/>
  </cols>
  <sheetData>
    <row r="1" customFormat="false" ht="21.75" hidden="false" customHeight="true" outlineLevel="0" collapsed="false">
      <c r="A1" s="10" t="s">
        <v>105</v>
      </c>
      <c r="B1" s="10"/>
      <c r="C1" s="10"/>
      <c r="D1" s="10"/>
      <c r="E1" s="10"/>
      <c r="F1" s="10"/>
      <c r="G1" s="10"/>
    </row>
    <row r="2" customFormat="false" ht="15" hidden="false" customHeight="false" outlineLevel="0" collapsed="false">
      <c r="A2" s="11" t="s">
        <v>106</v>
      </c>
      <c r="B2" s="11"/>
      <c r="C2" s="11"/>
      <c r="D2" s="11"/>
      <c r="E2" s="11"/>
      <c r="F2" s="11"/>
      <c r="G2" s="11"/>
    </row>
    <row r="4" customFormat="false" ht="25.5" hidden="false" customHeight="true" outlineLevel="0" collapsed="false">
      <c r="B4" s="12" t="s">
        <v>107</v>
      </c>
      <c r="C4" s="13" t="s">
        <v>35</v>
      </c>
      <c r="D4" s="13" t="s">
        <v>36</v>
      </c>
      <c r="E4" s="13" t="s">
        <v>108</v>
      </c>
      <c r="F4" s="13" t="s">
        <v>109</v>
      </c>
      <c r="G4" s="13" t="s">
        <v>110</v>
      </c>
    </row>
    <row r="5" customFormat="false" ht="39.75" hidden="false" customHeight="true" outlineLevel="0" collapsed="false">
      <c r="B5" s="31" t="s">
        <v>111</v>
      </c>
      <c r="C5" s="32" t="n">
        <f aca="false">'Historical Financials'!E6/'Historical Financials'!D6-1</f>
        <v>0.198026516363919</v>
      </c>
      <c r="D5" s="32" t="n">
        <f aca="false">'Historical Financials'!F6/'Historical Financials'!E6-1</f>
        <v>0.077928522989859</v>
      </c>
      <c r="E5" s="33" t="n">
        <f aca="false">Assumptions!D8</f>
        <v>0.10775</v>
      </c>
      <c r="F5" s="34" t="s">
        <v>112</v>
      </c>
      <c r="G5" s="34" t="s">
        <v>113</v>
      </c>
    </row>
    <row r="6" customFormat="false" ht="39.75" hidden="false" customHeight="true" outlineLevel="0" collapsed="false">
      <c r="B6" s="31" t="s">
        <v>114</v>
      </c>
      <c r="C6" s="32" t="n">
        <f aca="false">'Historical Financials'!E52</f>
        <v>0.086035040820603</v>
      </c>
      <c r="D6" s="32" t="n">
        <f aca="false">'Historical Financials'!F52</f>
        <v>0.046336315395844</v>
      </c>
      <c r="E6" s="33" t="n">
        <f aca="false">Assumptions!D6</f>
        <v>0.055</v>
      </c>
      <c r="F6" s="34" t="s">
        <v>115</v>
      </c>
      <c r="G6" s="34" t="s">
        <v>116</v>
      </c>
    </row>
    <row r="7" customFormat="false" ht="39.75" hidden="false" customHeight="true" outlineLevel="0" collapsed="false">
      <c r="B7" s="31" t="s">
        <v>117</v>
      </c>
      <c r="C7" s="32" t="n">
        <f aca="false">'Historical Financials'!E53</f>
        <v>0.103119578405772</v>
      </c>
      <c r="D7" s="32" t="n">
        <f aca="false">'Historical Financials'!F53</f>
        <v>0.0301931674636209</v>
      </c>
      <c r="E7" s="33" t="n">
        <f aca="false">Assumptions!D7</f>
        <v>0.05</v>
      </c>
      <c r="F7" s="34" t="s">
        <v>118</v>
      </c>
      <c r="G7" s="34" t="s">
        <v>119</v>
      </c>
    </row>
    <row r="8" customFormat="false" ht="39.75" hidden="false" customHeight="true" outlineLevel="0" collapsed="false">
      <c r="B8" s="31" t="s">
        <v>120</v>
      </c>
      <c r="C8" s="32" t="n">
        <f aca="false">'Historical Financials'!E7/'Historical Financials'!E6</f>
        <v>0.704692432302116</v>
      </c>
      <c r="D8" s="32" t="n">
        <f aca="false">'Historical Financials'!F7/'Historical Financials'!F6</f>
        <v>0.705976601073813</v>
      </c>
      <c r="E8" s="33" t="n">
        <f aca="false">Assumptions!D10</f>
        <v>0.713</v>
      </c>
      <c r="F8" s="34" t="s">
        <v>121</v>
      </c>
      <c r="G8" s="34" t="s">
        <v>122</v>
      </c>
    </row>
    <row r="9" customFormat="false" ht="39.75" hidden="false" customHeight="true" outlineLevel="0" collapsed="false">
      <c r="B9" s="31" t="s">
        <v>123</v>
      </c>
      <c r="C9" s="32" t="n">
        <f aca="false">'Historical Financials'!E8/'Historical Financials'!E6</f>
        <v>0.0441617051393575</v>
      </c>
      <c r="D9" s="32" t="n">
        <f aca="false">'Historical Financials'!F8/'Historical Financials'!F6</f>
        <v>0.0450687645916305</v>
      </c>
      <c r="E9" s="33" t="n">
        <f aca="false">Assumptions!D11</f>
        <v>0.047</v>
      </c>
      <c r="F9" s="34" t="s">
        <v>124</v>
      </c>
      <c r="G9" s="34" t="s">
        <v>125</v>
      </c>
    </row>
    <row r="10" customFormat="false" ht="39.75" hidden="false" customHeight="true" outlineLevel="0" collapsed="false">
      <c r="B10" s="31" t="s">
        <v>126</v>
      </c>
      <c r="C10" s="32" t="n">
        <f aca="false">'Historical Financials'!E9/'Historical Financials'!E6</f>
        <v>0.120548547775173</v>
      </c>
      <c r="D10" s="32" t="n">
        <f aca="false">'Historical Financials'!F9/'Historical Financials'!F6</f>
        <v>0.117139157560181</v>
      </c>
      <c r="E10" s="33" t="n">
        <f aca="false">Assumptions!D12</f>
        <v>0.11</v>
      </c>
      <c r="F10" s="34" t="s">
        <v>127</v>
      </c>
      <c r="G10" s="34" t="s">
        <v>128</v>
      </c>
    </row>
    <row r="11" customFormat="false" ht="39.75" hidden="false" customHeight="true" outlineLevel="0" collapsed="false">
      <c r="B11" s="31" t="s">
        <v>51</v>
      </c>
      <c r="C11" s="32" t="n">
        <f aca="false">'Historical Financials'!E12</f>
        <v>0.130597314783354</v>
      </c>
      <c r="D11" s="32" t="n">
        <f aca="false">'Historical Financials'!F12</f>
        <v>0.131815476774375</v>
      </c>
      <c r="E11" s="33" t="n">
        <f aca="false">'Budgeted P&amp;L'!D11</f>
        <v>0.13</v>
      </c>
      <c r="F11" s="34" t="s">
        <v>129</v>
      </c>
      <c r="G11" s="34" t="s">
        <v>130</v>
      </c>
    </row>
    <row r="12" customFormat="false" ht="39.75" hidden="false" customHeight="true" outlineLevel="0" collapsed="false">
      <c r="B12" s="31" t="s">
        <v>131</v>
      </c>
      <c r="C12" s="32" t="n">
        <f aca="false">'Historical Financials'!E13/('Historical Financials'!D36+'Historical Financials'!D37)</f>
        <v>0.163811696650085</v>
      </c>
      <c r="D12" s="32" t="n">
        <f aca="false">'Historical Financials'!F13/('Historical Financials'!E36+'Historical Financials'!E37)</f>
        <v>0.157535477926718</v>
      </c>
      <c r="E12" s="33" t="n">
        <f aca="false">Assumptions!D15</f>
        <v>0.16</v>
      </c>
      <c r="F12" s="34" t="s">
        <v>132</v>
      </c>
      <c r="G12" s="34" t="s">
        <v>133</v>
      </c>
    </row>
    <row r="13" customFormat="false" ht="39.75" hidden="false" customHeight="true" outlineLevel="0" collapsed="false">
      <c r="B13" s="31" t="s">
        <v>67</v>
      </c>
      <c r="C13" s="32" t="n">
        <f aca="false">'Historical Financials'!E24</f>
        <v>0.225906051823582</v>
      </c>
      <c r="D13" s="32" t="n">
        <f aca="false">'Historical Financials'!F24</f>
        <v>0.260948012232416</v>
      </c>
      <c r="E13" s="33" t="n">
        <f aca="false">Assumptions!D22</f>
        <v>0.2591</v>
      </c>
      <c r="F13" s="34" t="s">
        <v>134</v>
      </c>
      <c r="G13" s="34" t="s">
        <v>135</v>
      </c>
    </row>
    <row r="14" customFormat="false" ht="39.75" hidden="false" customHeight="true" outlineLevel="0" collapsed="false">
      <c r="B14" s="31" t="s">
        <v>136</v>
      </c>
      <c r="C14" s="32" t="n">
        <f aca="false">'Historical Financials'!E41/'Historical Financials'!E6</f>
        <v>-0.070540159116639</v>
      </c>
      <c r="D14" s="32" t="n">
        <f aca="false">'Historical Financials'!F41/'Historical Financials'!F6</f>
        <v>-0.0647976300249161</v>
      </c>
      <c r="E14" s="33" t="n">
        <f aca="false">Assumptions!D28</f>
        <v>-0.075</v>
      </c>
      <c r="F14" s="34" t="s">
        <v>137</v>
      </c>
      <c r="G14" s="34" t="s">
        <v>138</v>
      </c>
    </row>
    <row r="15" customFormat="false" ht="39.75" hidden="false" customHeight="true" outlineLevel="0" collapsed="false">
      <c r="B15" s="31" t="s">
        <v>139</v>
      </c>
      <c r="C15" s="32" t="n">
        <f aca="false">'Historical Financials'!E36/'Historical Financials'!E6</f>
        <v>0.246128880811966</v>
      </c>
      <c r="D15" s="32" t="n">
        <f aca="false">'Historical Financials'!F36/'Historical Financials'!F6</f>
        <v>0.261716139242576</v>
      </c>
      <c r="E15" s="33" t="n">
        <f aca="false">Assumptions!D25</f>
        <v>0.23</v>
      </c>
      <c r="F15" s="34" t="s">
        <v>140</v>
      </c>
      <c r="G15" s="34" t="s">
        <v>141</v>
      </c>
    </row>
    <row r="16" customFormat="false" ht="39.75" hidden="false" customHeight="true" outlineLevel="0" collapsed="false">
      <c r="B16" s="31" t="s">
        <v>71</v>
      </c>
      <c r="C16" s="32" t="n">
        <f aca="false">'Historical Financials'!E28</f>
        <v>0.201561364748447</v>
      </c>
      <c r="D16" s="32" t="n">
        <f aca="false">'Historical Financials'!F28</f>
        <v>0.271030744403526</v>
      </c>
      <c r="E16" s="33" t="n">
        <f aca="false">Assumptions!D33</f>
        <v>0.2</v>
      </c>
      <c r="F16" s="34" t="s">
        <v>142</v>
      </c>
      <c r="G16" s="34" t="s">
        <v>143</v>
      </c>
    </row>
  </sheetData>
  <mergeCells count="2">
    <mergeCell ref="A1:G1"/>
    <mergeCell ref="A2:G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22"/>
    <col collapsed="false" customWidth="true" hidden="false" outlineLevel="0" max="4" min="4" style="1" width="40"/>
    <col collapsed="false" customWidth="true" hidden="false" outlineLevel="0" max="5" min="5" style="1" width="46"/>
  </cols>
  <sheetData>
    <row r="1" customFormat="false" ht="21.75" hidden="false" customHeight="true" outlineLevel="0" collapsed="false">
      <c r="A1" s="10" t="s">
        <v>144</v>
      </c>
      <c r="B1" s="10"/>
      <c r="C1" s="10"/>
      <c r="D1" s="10"/>
      <c r="E1" s="10"/>
    </row>
    <row r="2" customFormat="false" ht="15" hidden="false" customHeight="false" outlineLevel="0" collapsed="false">
      <c r="A2" s="11" t="s">
        <v>145</v>
      </c>
      <c r="B2" s="11"/>
      <c r="C2" s="11"/>
      <c r="D2" s="11"/>
      <c r="E2" s="11"/>
    </row>
    <row r="4" customFormat="false" ht="25.5" hidden="false" customHeight="true" outlineLevel="0" collapsed="false">
      <c r="B4" s="12" t="s">
        <v>146</v>
      </c>
      <c r="C4" s="13" t="s">
        <v>147</v>
      </c>
      <c r="D4" s="13" t="s">
        <v>148</v>
      </c>
      <c r="E4" s="13" t="s">
        <v>149</v>
      </c>
    </row>
    <row r="5" customFormat="false" ht="67.5" hidden="false" customHeight="true" outlineLevel="0" collapsed="false">
      <c r="B5" s="31" t="s">
        <v>150</v>
      </c>
      <c r="C5" s="35" t="s">
        <v>151</v>
      </c>
      <c r="D5" s="34" t="s">
        <v>152</v>
      </c>
      <c r="E5" s="16" t="s">
        <v>153</v>
      </c>
    </row>
    <row r="6" customFormat="false" ht="67.5" hidden="false" customHeight="true" outlineLevel="0" collapsed="false">
      <c r="B6" s="31" t="s">
        <v>154</v>
      </c>
      <c r="C6" s="35" t="s">
        <v>155</v>
      </c>
      <c r="D6" s="34" t="s">
        <v>156</v>
      </c>
      <c r="E6" s="16" t="s">
        <v>157</v>
      </c>
    </row>
    <row r="7" customFormat="false" ht="67.5" hidden="false" customHeight="true" outlineLevel="0" collapsed="false">
      <c r="B7" s="31" t="s">
        <v>158</v>
      </c>
      <c r="C7" s="35" t="s">
        <v>159</v>
      </c>
      <c r="D7" s="34" t="s">
        <v>160</v>
      </c>
      <c r="E7" s="16" t="s">
        <v>161</v>
      </c>
    </row>
    <row r="8" customFormat="false" ht="67.5" hidden="false" customHeight="true" outlineLevel="0" collapsed="false">
      <c r="B8" s="31" t="s">
        <v>162</v>
      </c>
      <c r="C8" s="35" t="s">
        <v>163</v>
      </c>
      <c r="D8" s="34" t="s">
        <v>164</v>
      </c>
      <c r="E8" s="16" t="s">
        <v>165</v>
      </c>
    </row>
    <row r="9" customFormat="false" ht="67.5" hidden="false" customHeight="true" outlineLevel="0" collapsed="false">
      <c r="B9" s="31" t="s">
        <v>166</v>
      </c>
      <c r="C9" s="35" t="s">
        <v>167</v>
      </c>
      <c r="D9" s="34" t="s">
        <v>168</v>
      </c>
      <c r="E9" s="16" t="s">
        <v>169</v>
      </c>
    </row>
    <row r="10" customFormat="false" ht="67.5" hidden="false" customHeight="true" outlineLevel="0" collapsed="false">
      <c r="B10" s="31" t="s">
        <v>170</v>
      </c>
      <c r="C10" s="35" t="s">
        <v>171</v>
      </c>
      <c r="D10" s="34" t="s">
        <v>172</v>
      </c>
      <c r="E10" s="16" t="s">
        <v>173</v>
      </c>
    </row>
    <row r="12" customFormat="false" ht="15" hidden="false" customHeight="false" outlineLevel="0" collapsed="false">
      <c r="B12" s="36" t="s">
        <v>174</v>
      </c>
      <c r="C12" s="36"/>
      <c r="D12" s="36"/>
      <c r="E12" s="36"/>
    </row>
    <row r="13" customFormat="false" ht="15" hidden="false" customHeight="true" outlineLevel="0" collapsed="false">
      <c r="B13" s="37" t="s">
        <v>175</v>
      </c>
      <c r="C13" s="37"/>
      <c r="D13" s="37"/>
      <c r="E13" s="37"/>
    </row>
    <row r="14" customFormat="false" ht="15" hidden="false" customHeight="false" outlineLevel="0" collapsed="false">
      <c r="B14" s="37"/>
      <c r="C14" s="37"/>
      <c r="D14" s="37"/>
      <c r="E14" s="37"/>
    </row>
    <row r="15" customFormat="false" ht="15" hidden="false" customHeight="false" outlineLevel="0" collapsed="false">
      <c r="B15" s="37"/>
      <c r="C15" s="37"/>
      <c r="D15" s="37"/>
      <c r="E15" s="37"/>
    </row>
    <row r="16" customFormat="false" ht="15" hidden="false" customHeight="false" outlineLevel="0" collapsed="false">
      <c r="B16" s="37"/>
      <c r="C16" s="37"/>
      <c r="D16" s="37"/>
      <c r="E16" s="37"/>
    </row>
  </sheetData>
  <mergeCells count="4">
    <mergeCell ref="A1:E1"/>
    <mergeCell ref="A2:E2"/>
    <mergeCell ref="B12:E12"/>
    <mergeCell ref="B13:E1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4" min="3" style="1" width="16"/>
    <col collapsed="false" customWidth="true" hidden="false" outlineLevel="0" max="5" min="5" style="1" width="56"/>
  </cols>
  <sheetData>
    <row r="1" customFormat="false" ht="21.75" hidden="false" customHeight="true" outlineLevel="0" collapsed="false">
      <c r="A1" s="10" t="s">
        <v>176</v>
      </c>
      <c r="B1" s="10"/>
      <c r="C1" s="10"/>
      <c r="D1" s="10"/>
      <c r="E1" s="10"/>
    </row>
    <row r="2" customFormat="false" ht="15" hidden="false" customHeight="false" outlineLevel="0" collapsed="false">
      <c r="A2" s="11" t="s">
        <v>177</v>
      </c>
      <c r="B2" s="11"/>
      <c r="C2" s="11"/>
      <c r="D2" s="11"/>
      <c r="E2" s="11"/>
    </row>
    <row r="4" customFormat="false" ht="25.5" hidden="false" customHeight="true" outlineLevel="0" collapsed="false">
      <c r="B4" s="12" t="s">
        <v>178</v>
      </c>
      <c r="C4" s="13" t="s">
        <v>179</v>
      </c>
      <c r="D4" s="13" t="s">
        <v>147</v>
      </c>
      <c r="E4" s="13" t="s">
        <v>148</v>
      </c>
    </row>
    <row r="5" customFormat="false" ht="15.75" hidden="false" customHeight="true" outlineLevel="0" collapsed="false">
      <c r="A5" s="14" t="s">
        <v>180</v>
      </c>
      <c r="B5" s="14"/>
      <c r="C5" s="14"/>
      <c r="D5" s="14"/>
      <c r="E5" s="14"/>
    </row>
    <row r="6" customFormat="false" ht="45.75" hidden="false" customHeight="true" outlineLevel="0" collapsed="false">
      <c r="B6" s="38" t="s">
        <v>181</v>
      </c>
      <c r="C6" s="32" t="n">
        <f aca="false">'Historical Financials'!F52</f>
        <v>0.046336315395844</v>
      </c>
      <c r="D6" s="39" t="n">
        <v>0.055</v>
      </c>
      <c r="E6" s="34" t="s">
        <v>182</v>
      </c>
    </row>
    <row r="7" customFormat="false" ht="45.75" hidden="false" customHeight="true" outlineLevel="0" collapsed="false">
      <c r="B7" s="38" t="s">
        <v>117</v>
      </c>
      <c r="C7" s="32" t="n">
        <f aca="false">'Historical Financials'!F53</f>
        <v>0.0301931674636209</v>
      </c>
      <c r="D7" s="39" t="n">
        <v>0.05</v>
      </c>
      <c r="E7" s="34" t="s">
        <v>183</v>
      </c>
    </row>
    <row r="8" customFormat="false" ht="39.75" hidden="false" customHeight="true" outlineLevel="0" collapsed="false">
      <c r="B8" s="5" t="s">
        <v>184</v>
      </c>
      <c r="D8" s="40" t="n">
        <f aca="false">(1+D6)*(1+D7)-1</f>
        <v>0.10775</v>
      </c>
      <c r="E8" s="34" t="s">
        <v>185</v>
      </c>
    </row>
    <row r="9" customFormat="false" ht="15.75" hidden="false" customHeight="true" outlineLevel="0" collapsed="false">
      <c r="A9" s="14" t="s">
        <v>186</v>
      </c>
      <c r="B9" s="14"/>
      <c r="C9" s="14"/>
      <c r="D9" s="14"/>
      <c r="E9" s="14"/>
    </row>
    <row r="10" customFormat="false" ht="45.75" hidden="false" customHeight="true" outlineLevel="0" collapsed="false">
      <c r="B10" s="38" t="s">
        <v>187</v>
      </c>
      <c r="C10" s="32" t="n">
        <f aca="false">'Historical Financials'!F7/'Historical Financials'!F6</f>
        <v>0.705976601073813</v>
      </c>
      <c r="D10" s="39" t="n">
        <v>0.713</v>
      </c>
      <c r="E10" s="34" t="s">
        <v>188</v>
      </c>
    </row>
    <row r="11" customFormat="false" ht="45.75" hidden="false" customHeight="true" outlineLevel="0" collapsed="false">
      <c r="B11" s="38" t="s">
        <v>189</v>
      </c>
      <c r="C11" s="32" t="n">
        <f aca="false">'Historical Financials'!F8/'Historical Financials'!F6</f>
        <v>0.0450687645916305</v>
      </c>
      <c r="D11" s="39" t="n">
        <v>0.047</v>
      </c>
      <c r="E11" s="34" t="s">
        <v>190</v>
      </c>
    </row>
    <row r="12" customFormat="false" ht="45.75" hidden="false" customHeight="true" outlineLevel="0" collapsed="false">
      <c r="B12" s="38" t="s">
        <v>191</v>
      </c>
      <c r="C12" s="32" t="n">
        <f aca="false">'Historical Financials'!F9/'Historical Financials'!F6</f>
        <v>0.117139157560181</v>
      </c>
      <c r="D12" s="39" t="n">
        <v>0.11</v>
      </c>
      <c r="E12" s="34" t="s">
        <v>192</v>
      </c>
    </row>
    <row r="13" customFormat="false" ht="23.85" hidden="false" customHeight="false" outlineLevel="0" collapsed="false">
      <c r="B13" s="31" t="s">
        <v>193</v>
      </c>
      <c r="C13" s="41" t="n">
        <f aca="false">'Historical Financials'!F10/'Historical Financials'!F6</f>
        <v>0.868184523225625</v>
      </c>
      <c r="D13" s="40" t="n">
        <f aca="false">D10+D11+D12</f>
        <v>0.87</v>
      </c>
      <c r="E13" s="42" t="s">
        <v>194</v>
      </c>
    </row>
    <row r="14" customFormat="false" ht="15.75" hidden="false" customHeight="true" outlineLevel="0" collapsed="false">
      <c r="A14" s="14" t="s">
        <v>195</v>
      </c>
      <c r="B14" s="14"/>
      <c r="C14" s="14"/>
      <c r="D14" s="14"/>
      <c r="E14" s="14"/>
    </row>
    <row r="15" customFormat="false" ht="45.75" hidden="false" customHeight="true" outlineLevel="0" collapsed="false">
      <c r="B15" s="38" t="s">
        <v>196</v>
      </c>
      <c r="C15" s="32" t="n">
        <f aca="false">'Historical Financials'!F13/('Historical Financials'!F36+'Historical Financials'!F37)</f>
        <v>0.137080590637886</v>
      </c>
      <c r="D15" s="39" t="n">
        <v>0.16</v>
      </c>
      <c r="E15" s="34" t="s">
        <v>197</v>
      </c>
    </row>
    <row r="16" customFormat="false" ht="45.75" hidden="false" customHeight="true" outlineLevel="0" collapsed="false">
      <c r="B16" s="38" t="s">
        <v>198</v>
      </c>
      <c r="C16" s="43" t="n">
        <f aca="false">'Historical Financials'!F16</f>
        <v>1942</v>
      </c>
      <c r="D16" s="44" t="n">
        <f aca="false">'Historical Financials'!F16</f>
        <v>1942</v>
      </c>
      <c r="E16" s="34" t="s">
        <v>199</v>
      </c>
    </row>
    <row r="17" customFormat="false" ht="45.75" hidden="false" customHeight="true" outlineLevel="0" collapsed="false">
      <c r="B17" s="38" t="s">
        <v>200</v>
      </c>
      <c r="C17" s="32" t="n">
        <f aca="false">'Historical Financials'!F15/'Historical Financials'!E38</f>
        <v>0.0876535883831332</v>
      </c>
      <c r="D17" s="39" t="n">
        <v>0.075</v>
      </c>
      <c r="E17" s="34" t="s">
        <v>201</v>
      </c>
    </row>
    <row r="18" customFormat="false" ht="45.75" hidden="false" customHeight="true" outlineLevel="0" collapsed="false">
      <c r="B18" s="38" t="s">
        <v>202</v>
      </c>
      <c r="C18" s="32" t="n">
        <f aca="false">'Historical Financials'!F17/'Historical Financials'!E17-1</f>
        <v>-0.0490499337163058</v>
      </c>
      <c r="D18" s="39" t="n">
        <v>0.05</v>
      </c>
      <c r="E18" s="34" t="s">
        <v>203</v>
      </c>
    </row>
    <row r="19" customFormat="false" ht="45.75" hidden="false" customHeight="true" outlineLevel="0" collapsed="false">
      <c r="B19" s="38" t="s">
        <v>204</v>
      </c>
      <c r="C19" s="32" t="n">
        <f aca="false">'Historical Financials'!F18/'Historical Financials'!E18-1</f>
        <v>0.0323741007194245</v>
      </c>
      <c r="D19" s="39" t="n">
        <v>0.1</v>
      </c>
      <c r="E19" s="34" t="s">
        <v>205</v>
      </c>
    </row>
    <row r="21" customFormat="false" ht="3.75" hidden="false" customHeight="true" outlineLevel="0" collapsed="false">
      <c r="A21" s="14"/>
      <c r="B21" s="14"/>
      <c r="C21" s="14"/>
      <c r="D21" s="14"/>
      <c r="E21" s="14"/>
    </row>
    <row r="22" customFormat="false" ht="45.75" hidden="false" customHeight="true" outlineLevel="0" collapsed="false">
      <c r="B22" s="38" t="s">
        <v>67</v>
      </c>
      <c r="C22" s="32" t="n">
        <f aca="false">'Historical Financials'!F24</f>
        <v>0.260948012232416</v>
      </c>
      <c r="D22" s="39" t="n">
        <v>0.2591</v>
      </c>
      <c r="E22" s="34" t="s">
        <v>206</v>
      </c>
    </row>
    <row r="24" customFormat="false" ht="15.75" hidden="false" customHeight="true" outlineLevel="0" collapsed="false">
      <c r="A24" s="14" t="s">
        <v>207</v>
      </c>
      <c r="B24" s="14"/>
      <c r="C24" s="14"/>
      <c r="D24" s="14"/>
      <c r="E24" s="14"/>
    </row>
    <row r="25" customFormat="false" ht="45.75" hidden="false" customHeight="true" outlineLevel="0" collapsed="false">
      <c r="B25" s="38" t="s">
        <v>208</v>
      </c>
      <c r="C25" s="32" t="n">
        <f aca="false">'Historical Financials'!F36/'Historical Financials'!F6</f>
        <v>0.261716139242576</v>
      </c>
      <c r="D25" s="39" t="n">
        <v>0.23</v>
      </c>
      <c r="E25" s="34" t="s">
        <v>209</v>
      </c>
    </row>
    <row r="26" customFormat="false" ht="45.75" hidden="false" customHeight="true" outlineLevel="0" collapsed="false">
      <c r="B26" s="38" t="s">
        <v>210</v>
      </c>
      <c r="C26" s="32" t="n">
        <f aca="false">'Historical Financials'!F37/'Historical Financials'!E37-1</f>
        <v>0.303566208710903</v>
      </c>
      <c r="D26" s="39" t="n">
        <v>0.095</v>
      </c>
      <c r="E26" s="34" t="s">
        <v>211</v>
      </c>
    </row>
    <row r="27" customFormat="false" ht="45.75" hidden="false" customHeight="true" outlineLevel="0" collapsed="false">
      <c r="B27" s="38" t="s">
        <v>212</v>
      </c>
      <c r="C27" s="32" t="n">
        <f aca="false">'Historical Financials'!F39/'Historical Financials'!E39-1</f>
        <v>-0.0336136704521106</v>
      </c>
      <c r="D27" s="39" t="n">
        <v>0.18</v>
      </c>
      <c r="E27" s="34" t="s">
        <v>213</v>
      </c>
    </row>
    <row r="28" customFormat="false" ht="45.75" hidden="false" customHeight="true" outlineLevel="0" collapsed="false">
      <c r="B28" s="38" t="s">
        <v>214</v>
      </c>
      <c r="C28" s="32" t="n">
        <f aca="false">'Historical Financials'!F41/'Historical Financials'!F6</f>
        <v>-0.0647976300249161</v>
      </c>
      <c r="D28" s="39" t="n">
        <v>-0.075</v>
      </c>
      <c r="E28" s="34" t="s">
        <v>215</v>
      </c>
    </row>
    <row r="29" customFormat="false" ht="45.75" hidden="false" customHeight="true" outlineLevel="0" collapsed="false">
      <c r="B29" s="38" t="s">
        <v>216</v>
      </c>
      <c r="C29" s="43" t="n">
        <f aca="false">'Historical Financials'!F40</f>
        <v>5529</v>
      </c>
      <c r="D29" s="44" t="n">
        <f aca="false">'Historical Financials'!F40</f>
        <v>5529</v>
      </c>
      <c r="E29" s="34" t="s">
        <v>217</v>
      </c>
    </row>
    <row r="30" customFormat="false" ht="45.75" hidden="false" customHeight="true" outlineLevel="0" collapsed="false">
      <c r="B30" s="38" t="s">
        <v>218</v>
      </c>
      <c r="C30" s="43" t="n">
        <f aca="false">'Historical Financials'!F32</f>
        <v>870</v>
      </c>
      <c r="D30" s="44" t="n">
        <f aca="false">'Historical Financials'!F32</f>
        <v>870</v>
      </c>
      <c r="E30" s="34" t="s">
        <v>219</v>
      </c>
    </row>
    <row r="31" customFormat="false" ht="45.75" hidden="false" customHeight="true" outlineLevel="0" collapsed="false">
      <c r="B31" s="38" t="s">
        <v>220</v>
      </c>
      <c r="C31" s="32" t="n">
        <f aca="false">'Historical Financials'!F33/'Historical Financials'!E33-1</f>
        <v>0.380889237680297</v>
      </c>
      <c r="D31" s="39" t="n">
        <v>0.1</v>
      </c>
      <c r="E31" s="34" t="s">
        <v>221</v>
      </c>
    </row>
    <row r="32" customFormat="false" ht="3.75" hidden="false" customHeight="true" outlineLevel="0" collapsed="false"/>
    <row r="33" customFormat="false" ht="45.75" hidden="false" customHeight="true" outlineLevel="0" collapsed="false">
      <c r="B33" s="38" t="s">
        <v>71</v>
      </c>
      <c r="C33" s="32" t="n">
        <f aca="false">'Historical Financials'!F28</f>
        <v>0.271030744403526</v>
      </c>
      <c r="D33" s="39" t="n">
        <v>0.2</v>
      </c>
      <c r="E33" s="34" t="s">
        <v>222</v>
      </c>
    </row>
  </sheetData>
  <mergeCells count="7">
    <mergeCell ref="A1:E1"/>
    <mergeCell ref="A2:E2"/>
    <mergeCell ref="A5:E5"/>
    <mergeCell ref="A9:E9"/>
    <mergeCell ref="A14:E14"/>
    <mergeCell ref="A21:E21"/>
    <mergeCell ref="A24:E24"/>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4" min="3" style="1" width="16"/>
    <col collapsed="false" customWidth="true" hidden="false" outlineLevel="0" max="5" min="5" style="1" width="40"/>
  </cols>
  <sheetData>
    <row r="1" customFormat="false" ht="21.75" hidden="false" customHeight="true" outlineLevel="0" collapsed="false">
      <c r="A1" s="10" t="s">
        <v>223</v>
      </c>
      <c r="B1" s="10"/>
      <c r="C1" s="10"/>
      <c r="D1" s="10"/>
      <c r="E1" s="10"/>
    </row>
    <row r="2" customFormat="false" ht="15" hidden="false" customHeight="false" outlineLevel="0" collapsed="false">
      <c r="A2" s="11" t="s">
        <v>224</v>
      </c>
      <c r="B2" s="11"/>
      <c r="C2" s="11"/>
      <c r="D2" s="11"/>
      <c r="E2" s="11"/>
    </row>
    <row r="4" customFormat="false" ht="25.5" hidden="false" customHeight="true" outlineLevel="0" collapsed="false">
      <c r="B4" s="12" t="s">
        <v>32</v>
      </c>
      <c r="C4" s="13" t="s">
        <v>225</v>
      </c>
      <c r="D4" s="13" t="s">
        <v>226</v>
      </c>
      <c r="E4" s="13" t="s">
        <v>227</v>
      </c>
    </row>
    <row r="5" customFormat="false" ht="15.75" hidden="false" customHeight="true" outlineLevel="0" collapsed="false">
      <c r="A5" s="14" t="s">
        <v>228</v>
      </c>
      <c r="B5" s="14"/>
      <c r="C5" s="14"/>
      <c r="D5" s="14"/>
      <c r="E5" s="14"/>
    </row>
    <row r="6" customFormat="false" ht="31.5" hidden="false" customHeight="true" outlineLevel="0" collapsed="false">
      <c r="B6" s="38" t="s">
        <v>90</v>
      </c>
      <c r="C6" s="45" t="n">
        <f aca="false">'Historical Financials'!F47</f>
        <v>2234266</v>
      </c>
      <c r="D6" s="46" t="n">
        <f aca="false">C6*(1+Assumptions!D6)</f>
        <v>2357150.63</v>
      </c>
      <c r="E6" s="34" t="s">
        <v>229</v>
      </c>
    </row>
    <row r="7" customFormat="false" ht="31.5" hidden="false" customHeight="true" outlineLevel="0" collapsed="false">
      <c r="B7" s="38" t="s">
        <v>230</v>
      </c>
      <c r="C7" s="32" t="n">
        <f aca="false">'Historical Financials'!F52</f>
        <v>0.046336315395844</v>
      </c>
      <c r="D7" s="47" t="n">
        <f aca="false">Assumptions!D6</f>
        <v>0.055</v>
      </c>
      <c r="E7" s="34" t="s">
        <v>231</v>
      </c>
    </row>
    <row r="8" customFormat="false" ht="15.75" hidden="false" customHeight="true" outlineLevel="0" collapsed="false">
      <c r="A8" s="14" t="s">
        <v>232</v>
      </c>
      <c r="B8" s="14"/>
      <c r="C8" s="14"/>
      <c r="D8" s="14"/>
      <c r="E8" s="14"/>
    </row>
    <row r="9" customFormat="false" ht="31.5" hidden="false" customHeight="true" outlineLevel="0" collapsed="false">
      <c r="B9" s="38" t="s">
        <v>95</v>
      </c>
      <c r="C9" s="48" t="n">
        <f aca="false">'Historical Financials'!F51</f>
        <v>684399.261323406</v>
      </c>
      <c r="D9" s="49" t="n">
        <f aca="false">C9*(1+Assumptions!D7)</f>
        <v>718619.224389576</v>
      </c>
      <c r="E9" s="34" t="s">
        <v>233</v>
      </c>
    </row>
    <row r="10" customFormat="false" ht="31.5" hidden="false" customHeight="true" outlineLevel="0" collapsed="false">
      <c r="B10" s="38" t="s">
        <v>234</v>
      </c>
      <c r="C10" s="32" t="n">
        <f aca="false">'Historical Financials'!F53</f>
        <v>0.0301931674636209</v>
      </c>
      <c r="D10" s="47" t="n">
        <f aca="false">Assumptions!D7</f>
        <v>0.05</v>
      </c>
      <c r="E10" s="34" t="s">
        <v>231</v>
      </c>
    </row>
    <row r="11" customFormat="false" ht="15.75" hidden="false" customHeight="true" outlineLevel="0" collapsed="false">
      <c r="A11" s="14" t="s">
        <v>235</v>
      </c>
      <c r="B11" s="14"/>
      <c r="C11" s="14"/>
      <c r="D11" s="14"/>
      <c r="E11" s="14"/>
    </row>
    <row r="12" customFormat="false" ht="31.5" hidden="false" customHeight="true" outlineLevel="0" collapsed="false">
      <c r="B12" s="31" t="s">
        <v>236</v>
      </c>
      <c r="C12" s="43" t="n">
        <f aca="false">'Historical Financials'!F6</f>
        <v>1529130</v>
      </c>
      <c r="D12" s="50" t="n">
        <f aca="false">D6*D9/1000000</f>
        <v>1693893.7575</v>
      </c>
      <c r="E12" s="34" t="s">
        <v>237</v>
      </c>
    </row>
    <row r="13" customFormat="false" ht="31.5" hidden="false" customHeight="true" outlineLevel="0" collapsed="false">
      <c r="B13" s="38" t="s">
        <v>238</v>
      </c>
      <c r="C13" s="43" t="n">
        <f aca="false">'Historical Financials'!F6</f>
        <v>1529130</v>
      </c>
      <c r="D13" s="51" t="n">
        <f aca="false">C12*(1+Assumptions!D8)</f>
        <v>1693893.7575</v>
      </c>
      <c r="E13" s="34" t="s">
        <v>239</v>
      </c>
    </row>
    <row r="14" customFormat="false" ht="31.5" hidden="false" customHeight="true" outlineLevel="0" collapsed="false">
      <c r="B14" s="38" t="s">
        <v>240</v>
      </c>
      <c r="C14" s="43"/>
      <c r="D14" s="51" t="n">
        <f aca="false">D12-D13</f>
        <v>0</v>
      </c>
      <c r="E14" s="34" t="s">
        <v>241</v>
      </c>
    </row>
    <row r="16" customFormat="false" ht="15.75" hidden="false" customHeight="true" outlineLevel="0" collapsed="false">
      <c r="A16" s="14" t="s">
        <v>242</v>
      </c>
      <c r="B16" s="14"/>
      <c r="C16" s="14"/>
      <c r="D16" s="14"/>
      <c r="E16" s="14"/>
    </row>
    <row r="17" customFormat="false" ht="19.5" hidden="false" customHeight="true" outlineLevel="0" collapsed="false">
      <c r="B17" s="52" t="s">
        <v>243</v>
      </c>
      <c r="C17" s="52"/>
      <c r="D17" s="53" t="n">
        <f aca="false">D12</f>
        <v>1693893.7575</v>
      </c>
    </row>
    <row r="19" customFormat="false" ht="15" hidden="false" customHeight="true" outlineLevel="0" collapsed="false">
      <c r="B19" s="37" t="s">
        <v>244</v>
      </c>
      <c r="C19" s="37"/>
      <c r="D19" s="37"/>
      <c r="E19" s="37"/>
    </row>
    <row r="20" customFormat="false" ht="15" hidden="false" customHeight="false" outlineLevel="0" collapsed="false">
      <c r="B20" s="37"/>
      <c r="C20" s="37"/>
      <c r="D20" s="37"/>
      <c r="E20" s="37"/>
    </row>
    <row r="21" customFormat="false" ht="15" hidden="false" customHeight="false" outlineLevel="0" collapsed="false">
      <c r="B21" s="37"/>
      <c r="C21" s="37"/>
      <c r="D21" s="37"/>
      <c r="E21" s="37"/>
    </row>
  </sheetData>
  <mergeCells count="8">
    <mergeCell ref="A1:E1"/>
    <mergeCell ref="A2:E2"/>
    <mergeCell ref="A5:E5"/>
    <mergeCell ref="A8:E8"/>
    <mergeCell ref="A11:E11"/>
    <mergeCell ref="A16:E16"/>
    <mergeCell ref="B17:C17"/>
    <mergeCell ref="B19:E2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4" min="3" style="1" width="16"/>
    <col collapsed="false" customWidth="true" hidden="false" outlineLevel="0" max="5" min="5" style="1" width="44"/>
  </cols>
  <sheetData>
    <row r="1" customFormat="false" ht="21.75" hidden="false" customHeight="true" outlineLevel="0" collapsed="false">
      <c r="A1" s="10" t="s">
        <v>245</v>
      </c>
      <c r="B1" s="10"/>
      <c r="C1" s="10"/>
      <c r="D1" s="10"/>
      <c r="E1" s="10"/>
    </row>
    <row r="2" customFormat="false" ht="15" hidden="false" customHeight="false" outlineLevel="0" collapsed="false">
      <c r="A2" s="11" t="s">
        <v>246</v>
      </c>
      <c r="B2" s="11"/>
      <c r="C2" s="11"/>
      <c r="D2" s="11"/>
      <c r="E2" s="11"/>
    </row>
    <row r="4" customFormat="false" ht="25.5" hidden="false" customHeight="true" outlineLevel="0" collapsed="false">
      <c r="B4" s="12" t="s">
        <v>32</v>
      </c>
      <c r="C4" s="13" t="s">
        <v>225</v>
      </c>
      <c r="D4" s="13" t="s">
        <v>226</v>
      </c>
      <c r="E4" s="13" t="s">
        <v>227</v>
      </c>
    </row>
    <row r="5" customFormat="false" ht="15.75" hidden="false" customHeight="true" outlineLevel="0" collapsed="false">
      <c r="A5" s="14" t="s">
        <v>247</v>
      </c>
      <c r="B5" s="14"/>
      <c r="C5" s="14"/>
      <c r="D5" s="14"/>
      <c r="E5" s="14"/>
    </row>
    <row r="6" customFormat="false" ht="30" hidden="false" customHeight="true" outlineLevel="0" collapsed="false">
      <c r="B6" s="31" t="s">
        <v>39</v>
      </c>
      <c r="C6" s="43" t="n">
        <f aca="false">'Historical Financials'!F6</f>
        <v>1529130</v>
      </c>
      <c r="D6" s="50" t="n">
        <f aca="false">'Revenue Budget'!D17</f>
        <v>1693893.7575</v>
      </c>
      <c r="E6" s="34" t="s">
        <v>248</v>
      </c>
    </row>
    <row r="7" customFormat="false" ht="15.75" hidden="false" customHeight="true" outlineLevel="0" collapsed="false">
      <c r="A7" s="14" t="s">
        <v>249</v>
      </c>
      <c r="B7" s="14"/>
      <c r="C7" s="14"/>
      <c r="D7" s="14"/>
      <c r="E7" s="14"/>
    </row>
    <row r="8" customFormat="false" ht="30" hidden="false" customHeight="true" outlineLevel="0" collapsed="false">
      <c r="B8" s="38" t="s">
        <v>250</v>
      </c>
      <c r="C8" s="43" t="n">
        <f aca="false">'Historical Financials'!F7</f>
        <v>1079530</v>
      </c>
      <c r="D8" s="51" t="n">
        <f aca="false">D6*Assumptions!D10</f>
        <v>1207746.2490975</v>
      </c>
      <c r="E8" s="34" t="s">
        <v>251</v>
      </c>
    </row>
    <row r="9" customFormat="false" ht="30" hidden="false" customHeight="true" outlineLevel="0" collapsed="false">
      <c r="B9" s="38" t="s">
        <v>252</v>
      </c>
      <c r="C9" s="43" t="n">
        <f aca="false">'Historical Financials'!F8</f>
        <v>68916</v>
      </c>
      <c r="D9" s="51" t="n">
        <f aca="false">D6*Assumptions!D11</f>
        <v>79613.0066025</v>
      </c>
      <c r="E9" s="34" t="s">
        <v>253</v>
      </c>
    </row>
    <row r="10" customFormat="false" ht="30" hidden="false" customHeight="true" outlineLevel="0" collapsed="false">
      <c r="B10" s="38" t="s">
        <v>254</v>
      </c>
      <c r="C10" s="43" t="n">
        <f aca="false">'Historical Financials'!F9</f>
        <v>179121</v>
      </c>
      <c r="D10" s="51" t="n">
        <f aca="false">D6*Assumptions!D12</f>
        <v>186328.313325</v>
      </c>
      <c r="E10" s="34" t="s">
        <v>255</v>
      </c>
    </row>
    <row r="11" customFormat="false" ht="30" hidden="false" customHeight="true" outlineLevel="0" collapsed="false">
      <c r="B11" s="54" t="s">
        <v>47</v>
      </c>
      <c r="C11" s="55" t="n">
        <f aca="false">'Historical Financials'!F10</f>
        <v>1327567</v>
      </c>
      <c r="D11" s="56" t="n">
        <f aca="false">D8+D9+D10</f>
        <v>1473687.569025</v>
      </c>
      <c r="E11" s="34" t="s">
        <v>256</v>
      </c>
    </row>
    <row r="12" customFormat="false" ht="30" hidden="false" customHeight="true" outlineLevel="0" collapsed="false">
      <c r="B12" s="31" t="s">
        <v>49</v>
      </c>
      <c r="C12" s="43" t="n">
        <f aca="false">'Historical Financials'!F11</f>
        <v>201563</v>
      </c>
      <c r="D12" s="50" t="n">
        <f aca="false">D6-D11</f>
        <v>220206.188475</v>
      </c>
      <c r="E12" s="34" t="s">
        <v>257</v>
      </c>
    </row>
    <row r="13" customFormat="false" ht="30" hidden="false" customHeight="true" outlineLevel="0" collapsed="false">
      <c r="B13" s="38" t="s">
        <v>51</v>
      </c>
      <c r="C13" s="32" t="n">
        <f aca="false">'Historical Financials'!F12</f>
        <v>0.131815476774375</v>
      </c>
      <c r="D13" s="47" t="n">
        <f aca="false">D12/D6</f>
        <v>0.13</v>
      </c>
      <c r="E13" s="34" t="s">
        <v>258</v>
      </c>
    </row>
    <row r="14" customFormat="false" ht="15.75" hidden="false" customHeight="true" outlineLevel="0" collapsed="false">
      <c r="A14" s="14" t="s">
        <v>259</v>
      </c>
      <c r="B14" s="14"/>
      <c r="C14" s="14"/>
      <c r="D14" s="14"/>
      <c r="E14" s="14"/>
    </row>
    <row r="15" customFormat="false" ht="30" hidden="false" customHeight="true" outlineLevel="0" collapsed="false">
      <c r="B15" s="38" t="s">
        <v>260</v>
      </c>
      <c r="C15" s="43" t="n">
        <f aca="false">'Historical Financials'!F13</f>
        <v>56082</v>
      </c>
      <c r="D15" s="51" t="n">
        <f aca="false">Assumptions!D15*('Historical Financials'!F36+'Historical Financials'!F37)</f>
        <v>65458.72</v>
      </c>
      <c r="E15" s="34" t="s">
        <v>261</v>
      </c>
    </row>
    <row r="16" customFormat="false" ht="30" hidden="false" customHeight="true" outlineLevel="0" collapsed="false">
      <c r="B16" s="54" t="s">
        <v>55</v>
      </c>
      <c r="C16" s="55" t="n">
        <f aca="false">'Historical Financials'!F14</f>
        <v>145481</v>
      </c>
      <c r="D16" s="56" t="n">
        <f aca="false">D12-D15</f>
        <v>154747.468475</v>
      </c>
      <c r="E16" s="34" t="s">
        <v>262</v>
      </c>
    </row>
  </sheetData>
  <mergeCells count="5">
    <mergeCell ref="A1:E1"/>
    <mergeCell ref="A2:E2"/>
    <mergeCell ref="A5:E5"/>
    <mergeCell ref="A7:E7"/>
    <mergeCell ref="A14:E14"/>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4" min="3" style="1" width="14"/>
    <col collapsed="false" customWidth="true" hidden="false" outlineLevel="0" max="5" min="5" style="1" width="12"/>
    <col collapsed="false" customWidth="true" hidden="false" outlineLevel="0" max="6" min="6" style="1" width="40"/>
  </cols>
  <sheetData>
    <row r="1" customFormat="false" ht="21.75" hidden="false" customHeight="true" outlineLevel="0" collapsed="false">
      <c r="A1" s="10" t="s">
        <v>263</v>
      </c>
      <c r="B1" s="10"/>
      <c r="C1" s="10"/>
      <c r="D1" s="10"/>
      <c r="E1" s="10"/>
      <c r="F1" s="10"/>
    </row>
    <row r="2" customFormat="false" ht="15" hidden="false" customHeight="false" outlineLevel="0" collapsed="false">
      <c r="A2" s="11" t="s">
        <v>264</v>
      </c>
      <c r="B2" s="11"/>
      <c r="C2" s="11"/>
      <c r="D2" s="11"/>
      <c r="E2" s="11"/>
      <c r="F2" s="11"/>
    </row>
    <row r="4" customFormat="false" ht="25.5" hidden="false" customHeight="true" outlineLevel="0" collapsed="false">
      <c r="B4" s="12" t="s">
        <v>32</v>
      </c>
      <c r="C4" s="13" t="s">
        <v>225</v>
      </c>
      <c r="D4" s="13" t="s">
        <v>226</v>
      </c>
      <c r="E4" s="13" t="s">
        <v>265</v>
      </c>
      <c r="F4" s="13" t="s">
        <v>266</v>
      </c>
    </row>
    <row r="5" customFormat="false" ht="31.5" hidden="false" customHeight="true" outlineLevel="0" collapsed="false">
      <c r="B5" s="31" t="s">
        <v>39</v>
      </c>
      <c r="C5" s="43" t="n">
        <f aca="false">'Historical Financials'!F6</f>
        <v>1529130</v>
      </c>
      <c r="D5" s="50" t="n">
        <f aca="false">'Revenue Budget'!D17</f>
        <v>1693893.7575</v>
      </c>
      <c r="E5" s="57" t="n">
        <f aca="false">D5/C5-1</f>
        <v>0.10775</v>
      </c>
      <c r="F5" s="34" t="s">
        <v>267</v>
      </c>
    </row>
    <row r="6" customFormat="false" ht="31.5" hidden="false" customHeight="true" outlineLevel="0" collapsed="false">
      <c r="B6" s="38" t="s">
        <v>268</v>
      </c>
      <c r="C6" s="43" t="n">
        <f aca="false">'Historical Financials'!F7</f>
        <v>1079530</v>
      </c>
      <c r="D6" s="51" t="n">
        <f aca="false">'Cost Budget'!D8</f>
        <v>1207746.2490975</v>
      </c>
      <c r="E6" s="57" t="n">
        <f aca="false">D6/C6-1</f>
        <v>0.118770436298667</v>
      </c>
      <c r="F6" s="34" t="s">
        <v>269</v>
      </c>
    </row>
    <row r="7" customFormat="false" ht="31.5" hidden="false" customHeight="true" outlineLevel="0" collapsed="false">
      <c r="B7" s="38" t="s">
        <v>43</v>
      </c>
      <c r="C7" s="43" t="n">
        <f aca="false">'Historical Financials'!F8</f>
        <v>68916</v>
      </c>
      <c r="D7" s="51" t="n">
        <f aca="false">'Cost Budget'!D9</f>
        <v>79613.0066025</v>
      </c>
      <c r="E7" s="57" t="n">
        <f aca="false">D7/C7-1</f>
        <v>0.155218042290615</v>
      </c>
      <c r="F7" s="34" t="s">
        <v>269</v>
      </c>
    </row>
    <row r="8" customFormat="false" ht="31.5" hidden="false" customHeight="true" outlineLevel="0" collapsed="false">
      <c r="B8" s="38" t="s">
        <v>45</v>
      </c>
      <c r="C8" s="43" t="n">
        <f aca="false">'Historical Financials'!F9</f>
        <v>179121</v>
      </c>
      <c r="D8" s="51" t="n">
        <f aca="false">'Cost Budget'!D10</f>
        <v>186328.313325</v>
      </c>
      <c r="E8" s="57" t="n">
        <f aca="false">D8/C8-1</f>
        <v>0.0402371208568508</v>
      </c>
      <c r="F8" s="34" t="s">
        <v>269</v>
      </c>
    </row>
    <row r="9" customFormat="false" ht="31.5" hidden="false" customHeight="true" outlineLevel="0" collapsed="false">
      <c r="B9" s="54" t="s">
        <v>47</v>
      </c>
      <c r="C9" s="55" t="n">
        <f aca="false">'Historical Financials'!F10</f>
        <v>1327567</v>
      </c>
      <c r="D9" s="56" t="n">
        <f aca="false">'Cost Budget'!D11</f>
        <v>1473687.569025</v>
      </c>
      <c r="E9" s="58" t="n">
        <f aca="false">D9/C9-1</f>
        <v>0.110066436590394</v>
      </c>
    </row>
    <row r="10" customFormat="false" ht="31.5" hidden="false" customHeight="true" outlineLevel="0" collapsed="false">
      <c r="B10" s="31" t="s">
        <v>49</v>
      </c>
      <c r="C10" s="43" t="n">
        <f aca="false">'Historical Financials'!F11</f>
        <v>201563</v>
      </c>
      <c r="D10" s="50" t="n">
        <f aca="false">'Cost Budget'!D12</f>
        <v>220206.188475</v>
      </c>
      <c r="E10" s="57" t="n">
        <f aca="false">D10/C10-1</f>
        <v>0.0924931087302727</v>
      </c>
    </row>
    <row r="11" customFormat="false" ht="31.5" hidden="false" customHeight="true" outlineLevel="0" collapsed="false">
      <c r="B11" s="38" t="s">
        <v>51</v>
      </c>
      <c r="C11" s="32" t="n">
        <f aca="false">'Historical Financials'!F12</f>
        <v>0.131815476774375</v>
      </c>
      <c r="D11" s="47" t="n">
        <f aca="false">D10/D5</f>
        <v>0.13</v>
      </c>
    </row>
    <row r="12" customFormat="false" ht="31.5" hidden="false" customHeight="true" outlineLevel="0" collapsed="false">
      <c r="B12" s="38" t="s">
        <v>53</v>
      </c>
      <c r="C12" s="43" t="n">
        <f aca="false">'Historical Financials'!F13</f>
        <v>56082</v>
      </c>
      <c r="D12" s="51" t="n">
        <f aca="false">'Cost Budget'!D15</f>
        <v>65458.72</v>
      </c>
      <c r="E12" s="57" t="n">
        <f aca="false">D12/C12-1</f>
        <v>0.167196604971292</v>
      </c>
      <c r="F12" s="34" t="s">
        <v>269</v>
      </c>
    </row>
    <row r="13" customFormat="false" ht="31.5" hidden="false" customHeight="true" outlineLevel="0" collapsed="false">
      <c r="B13" s="54" t="s">
        <v>55</v>
      </c>
      <c r="C13" s="55" t="n">
        <f aca="false">'Historical Financials'!F14</f>
        <v>145481</v>
      </c>
      <c r="D13" s="56" t="n">
        <f aca="false">D10-D12</f>
        <v>154747.468475</v>
      </c>
      <c r="E13" s="58" t="n">
        <f aca="false">D13/C13-1</f>
        <v>0.0636953861672656</v>
      </c>
    </row>
    <row r="14" customFormat="false" ht="31.5" hidden="false" customHeight="true" outlineLevel="0" collapsed="false">
      <c r="B14" s="38" t="s">
        <v>56</v>
      </c>
      <c r="C14" s="43" t="n">
        <f aca="false">'Historical Financials'!F15</f>
        <v>50222</v>
      </c>
      <c r="D14" s="51" t="n">
        <f aca="false">Assumptions!D17*'Historical Financials'!F38</f>
        <v>49699.05</v>
      </c>
      <c r="E14" s="57" t="n">
        <f aca="false">D14/C14-1</f>
        <v>-0.0104127673131298</v>
      </c>
      <c r="F14" s="34" t="s">
        <v>270</v>
      </c>
    </row>
    <row r="15" customFormat="false" ht="31.5" hidden="false" customHeight="true" outlineLevel="0" collapsed="false">
      <c r="B15" s="38" t="s">
        <v>58</v>
      </c>
      <c r="C15" s="43" t="n">
        <f aca="false">'Historical Financials'!F16</f>
        <v>1942</v>
      </c>
      <c r="D15" s="51" t="n">
        <f aca="false">Assumptions!D16</f>
        <v>1942</v>
      </c>
      <c r="E15" s="57" t="n">
        <f aca="false">D15/C15-1</f>
        <v>0</v>
      </c>
      <c r="F15" s="34" t="s">
        <v>271</v>
      </c>
    </row>
    <row r="16" customFormat="false" ht="31.5" hidden="false" customHeight="true" outlineLevel="0" collapsed="false">
      <c r="B16" s="38" t="s">
        <v>59</v>
      </c>
      <c r="C16" s="43" t="n">
        <f aca="false">'Historical Financials'!F17</f>
        <v>2152</v>
      </c>
      <c r="D16" s="51" t="n">
        <f aca="false">'Historical Financials'!F17*(1+Assumptions!D18)</f>
        <v>2259.6</v>
      </c>
      <c r="E16" s="57" t="n">
        <f aca="false">D16/C16-1</f>
        <v>0.05</v>
      </c>
      <c r="F16" s="34" t="s">
        <v>272</v>
      </c>
    </row>
    <row r="17" customFormat="false" ht="31.5" hidden="false" customHeight="true" outlineLevel="0" collapsed="false">
      <c r="B17" s="38" t="s">
        <v>60</v>
      </c>
      <c r="C17" s="43" t="n">
        <f aca="false">'Historical Financials'!F18</f>
        <v>287</v>
      </c>
      <c r="D17" s="51" t="n">
        <f aca="false">'Historical Financials'!F18*(1+Assumptions!D19)</f>
        <v>315.7</v>
      </c>
      <c r="E17" s="57" t="n">
        <f aca="false">D17/C17-1</f>
        <v>0.1</v>
      </c>
      <c r="F17" s="34" t="s">
        <v>273</v>
      </c>
    </row>
    <row r="18" customFormat="false" ht="31.5" hidden="false" customHeight="true" outlineLevel="0" collapsed="false">
      <c r="B18" s="54" t="s">
        <v>61</v>
      </c>
      <c r="C18" s="55" t="n">
        <f aca="false">'Historical Financials'!F19</f>
        <v>196200</v>
      </c>
      <c r="D18" s="56" t="n">
        <f aca="false">D13+D14-D15+D16+D17</f>
        <v>205079.818475</v>
      </c>
      <c r="E18" s="58" t="n">
        <f aca="false">D18/C18-1</f>
        <v>0.0452590136340467</v>
      </c>
    </row>
    <row r="19" customFormat="false" ht="31.5" hidden="false" customHeight="true" outlineLevel="0" collapsed="false">
      <c r="B19" s="38" t="s">
        <v>63</v>
      </c>
      <c r="C19" s="43" t="n">
        <f aca="false">'Historical Financials'!F20</f>
        <v>51198</v>
      </c>
      <c r="D19" s="51" t="n">
        <f aca="false">D18*Assumptions!D22</f>
        <v>53136.1809668725</v>
      </c>
      <c r="E19" s="57" t="n">
        <f aca="false">D19/C19-1</f>
        <v>0.03785657578172</v>
      </c>
      <c r="F19" s="34" t="s">
        <v>274</v>
      </c>
    </row>
    <row r="20" customFormat="false" ht="31.5" hidden="false" customHeight="true" outlineLevel="0" collapsed="false">
      <c r="B20" s="59" t="s">
        <v>64</v>
      </c>
      <c r="C20" s="60" t="n">
        <f aca="false">'Historical Financials'!F21</f>
        <v>145002</v>
      </c>
      <c r="D20" s="61" t="n">
        <f aca="false">D18-D19</f>
        <v>151943.637508128</v>
      </c>
      <c r="E20" s="62" t="n">
        <f aca="false">D20/C20-1</f>
        <v>0.0478727018118887</v>
      </c>
    </row>
    <row r="21" customFormat="false" ht="31.5" hidden="false" customHeight="true" outlineLevel="0" collapsed="false">
      <c r="B21" s="38" t="s">
        <v>66</v>
      </c>
      <c r="C21" s="32" t="n">
        <f aca="false">'Historical Financials'!F22</f>
        <v>0.094826469953503</v>
      </c>
      <c r="D21" s="47" t="n">
        <f aca="false">D20/D5</f>
        <v>0.0897008072881616</v>
      </c>
    </row>
    <row r="23" customFormat="false" ht="31.5" hidden="false" customHeight="true" outlineLevel="0" collapsed="false">
      <c r="B23" s="38" t="s">
        <v>275</v>
      </c>
      <c r="C23" s="43" t="n">
        <f aca="false">'Historical Financials'!F25</f>
        <v>337</v>
      </c>
      <c r="D23" s="51" t="n">
        <f aca="false">'Historical Financials'!F25</f>
        <v>337</v>
      </c>
      <c r="E23" s="57" t="n">
        <f aca="false">D23/C23-1</f>
        <v>0</v>
      </c>
      <c r="F23" s="34" t="s">
        <v>276</v>
      </c>
    </row>
    <row r="24" customFormat="false" ht="31.5" hidden="false" customHeight="true" outlineLevel="0" collapsed="false">
      <c r="B24" s="38" t="s">
        <v>69</v>
      </c>
      <c r="C24" s="43" t="n">
        <f aca="false">'Historical Financials'!F26</f>
        <v>39300</v>
      </c>
      <c r="D24" s="51" t="n">
        <f aca="false">D20*Assumptions!D33</f>
        <v>30388.7275016255</v>
      </c>
      <c r="E24" s="57" t="n">
        <f aca="false">D24/C24-1</f>
        <v>-0.226749936345407</v>
      </c>
      <c r="F24" s="34" t="s">
        <v>277</v>
      </c>
    </row>
    <row r="25" customFormat="false" ht="31.5" hidden="false" customHeight="true" outlineLevel="0" collapsed="false">
      <c r="B25" s="54" t="s">
        <v>70</v>
      </c>
      <c r="C25" s="55" t="n">
        <f aca="false">'Historical Financials'!F27</f>
        <v>106039</v>
      </c>
      <c r="D25" s="56" t="n">
        <f aca="false">D20+D23-D24</f>
        <v>121891.910006502</v>
      </c>
      <c r="E25" s="58" t="n">
        <f aca="false">D25/C25-1</f>
        <v>0.149500749785475</v>
      </c>
    </row>
  </sheetData>
  <mergeCells count="2">
    <mergeCell ref="A1:F1"/>
    <mergeCell ref="A2:F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4" min="3" style="1" width="14"/>
    <col collapsed="false" customWidth="true" hidden="false" outlineLevel="0" max="5" min="5" style="1" width="40"/>
  </cols>
  <sheetData>
    <row r="1" customFormat="false" ht="21.75" hidden="false" customHeight="true" outlineLevel="0" collapsed="false">
      <c r="A1" s="10" t="s">
        <v>278</v>
      </c>
      <c r="B1" s="10"/>
      <c r="C1" s="10"/>
      <c r="D1" s="10"/>
      <c r="E1" s="10"/>
    </row>
    <row r="2" customFormat="false" ht="15" hidden="false" customHeight="false" outlineLevel="0" collapsed="false">
      <c r="A2" s="11" t="s">
        <v>279</v>
      </c>
      <c r="B2" s="11"/>
      <c r="C2" s="11"/>
      <c r="D2" s="11"/>
      <c r="E2" s="11"/>
    </row>
    <row r="4" customFormat="false" ht="25.5" hidden="false" customHeight="true" outlineLevel="0" collapsed="false">
      <c r="B4" s="12" t="s">
        <v>32</v>
      </c>
      <c r="C4" s="13" t="s">
        <v>225</v>
      </c>
      <c r="D4" s="13" t="s">
        <v>226</v>
      </c>
      <c r="E4" s="13" t="s">
        <v>266</v>
      </c>
    </row>
    <row r="5" customFormat="false" ht="15.75" hidden="false" customHeight="true" outlineLevel="0" collapsed="false">
      <c r="A5" s="14" t="s">
        <v>280</v>
      </c>
      <c r="B5" s="14"/>
      <c r="C5" s="14"/>
      <c r="D5" s="14"/>
      <c r="E5" s="14"/>
    </row>
    <row r="6" customFormat="false" ht="30" hidden="false" customHeight="true" outlineLevel="0" collapsed="false">
      <c r="B6" s="38" t="s">
        <v>73</v>
      </c>
      <c r="C6" s="43" t="n">
        <f aca="false">'Historical Financials'!F31</f>
        <v>962399</v>
      </c>
      <c r="D6" s="51" t="n">
        <f aca="false">C6+'Budgeted P&amp;L'!D25</f>
        <v>1084290.9100065</v>
      </c>
      <c r="E6" s="34" t="s">
        <v>281</v>
      </c>
    </row>
    <row r="7" customFormat="false" ht="30" hidden="false" customHeight="true" outlineLevel="0" collapsed="false">
      <c r="B7" s="38" t="s">
        <v>75</v>
      </c>
      <c r="C7" s="43" t="n">
        <f aca="false">'Historical Financials'!F32</f>
        <v>870</v>
      </c>
      <c r="D7" s="51" t="n">
        <f aca="false">Assumptions!D30</f>
        <v>870</v>
      </c>
      <c r="E7" s="34" t="s">
        <v>282</v>
      </c>
    </row>
    <row r="8" customFormat="false" ht="30" hidden="false" customHeight="true" outlineLevel="0" collapsed="false">
      <c r="B8" s="38" t="s">
        <v>76</v>
      </c>
      <c r="C8" s="43" t="n">
        <f aca="false">'Historical Financials'!F33</f>
        <v>51028</v>
      </c>
      <c r="D8" s="51" t="n">
        <f aca="false">C8*(1+Assumptions!D31)</f>
        <v>56130.8</v>
      </c>
      <c r="E8" s="34" t="s">
        <v>283</v>
      </c>
    </row>
    <row r="9" customFormat="false" ht="30" hidden="false" customHeight="true" outlineLevel="0" collapsed="false">
      <c r="B9" s="54" t="s">
        <v>78</v>
      </c>
      <c r="C9" s="55" t="n">
        <f aca="false">'Historical Financials'!F34</f>
        <v>1014297</v>
      </c>
      <c r="D9" s="56" t="n">
        <f aca="false">D6+D7+D8</f>
        <v>1141291.7100065</v>
      </c>
    </row>
    <row r="11" customFormat="false" ht="15.75" hidden="false" customHeight="true" outlineLevel="0" collapsed="false">
      <c r="A11" s="14" t="s">
        <v>284</v>
      </c>
      <c r="B11" s="14"/>
      <c r="C11" s="14"/>
      <c r="D11" s="14"/>
      <c r="E11" s="14"/>
    </row>
    <row r="12" customFormat="false" ht="30" hidden="false" customHeight="true" outlineLevel="0" collapsed="false">
      <c r="B12" s="38" t="s">
        <v>79</v>
      </c>
      <c r="C12" s="43" t="n">
        <f aca="false">'Historical Financials'!F36</f>
        <v>400198</v>
      </c>
      <c r="D12" s="51" t="n">
        <f aca="false">Assumptions!D25*'Budgeted P&amp;L'!D5</f>
        <v>389595.564225</v>
      </c>
      <c r="E12" s="34" t="s">
        <v>285</v>
      </c>
    </row>
    <row r="13" customFormat="false" ht="30" hidden="false" customHeight="true" outlineLevel="0" collapsed="false">
      <c r="B13" s="38" t="s">
        <v>80</v>
      </c>
      <c r="C13" s="43" t="n">
        <f aca="false">'Historical Financials'!F37</f>
        <v>8919</v>
      </c>
      <c r="D13" s="51" t="n">
        <f aca="false">C13*(1+Assumptions!D26)</f>
        <v>9766.305</v>
      </c>
      <c r="E13" s="34" t="s">
        <v>283</v>
      </c>
    </row>
    <row r="14" customFormat="false" ht="30" hidden="false" customHeight="true" outlineLevel="0" collapsed="false">
      <c r="B14" s="38" t="s">
        <v>83</v>
      </c>
      <c r="C14" s="43" t="n">
        <f aca="false">'Historical Financials'!F39</f>
        <v>36081</v>
      </c>
      <c r="D14" s="51" t="n">
        <f aca="false">C14*(1+Assumptions!D27)</f>
        <v>42575.58</v>
      </c>
      <c r="E14" s="34" t="s">
        <v>283</v>
      </c>
    </row>
    <row r="15" customFormat="false" ht="30" hidden="false" customHeight="true" outlineLevel="0" collapsed="false">
      <c r="B15" s="38" t="s">
        <v>84</v>
      </c>
      <c r="C15" s="43" t="n">
        <f aca="false">'Historical Financials'!F40</f>
        <v>5529</v>
      </c>
      <c r="D15" s="51" t="n">
        <f aca="false">Assumptions!D29</f>
        <v>5529</v>
      </c>
      <c r="E15" s="34" t="s">
        <v>282</v>
      </c>
    </row>
    <row r="16" customFormat="false" ht="30" hidden="false" customHeight="true" outlineLevel="0" collapsed="false">
      <c r="B16" s="38" t="s">
        <v>85</v>
      </c>
      <c r="C16" s="43" t="n">
        <f aca="false">'Historical Financials'!F41</f>
        <v>-99084</v>
      </c>
      <c r="D16" s="51" t="n">
        <f aca="false">Assumptions!D28*'Budgeted P&amp;L'!D5</f>
        <v>-127042.0318125</v>
      </c>
      <c r="E16" s="34" t="s">
        <v>286</v>
      </c>
    </row>
    <row r="17" customFormat="false" ht="30" hidden="false" customHeight="true" outlineLevel="0" collapsed="false">
      <c r="B17" s="31" t="s">
        <v>287</v>
      </c>
      <c r="C17" s="43" t="n">
        <f aca="false">'Historical Financials'!F38</f>
        <v>662654</v>
      </c>
      <c r="D17" s="50" t="n">
        <f aca="false">D9-D12-D13-D14-D15-D16</f>
        <v>820867.292594002</v>
      </c>
      <c r="E17" s="34" t="s">
        <v>288</v>
      </c>
    </row>
    <row r="18" customFormat="false" ht="30" hidden="false" customHeight="true" outlineLevel="0" collapsed="false">
      <c r="B18" s="54" t="s">
        <v>87</v>
      </c>
      <c r="C18" s="55" t="n">
        <f aca="false">'Historical Financials'!F42</f>
        <v>1014297</v>
      </c>
      <c r="D18" s="56" t="n">
        <f aca="false">D12+D13+D17+D14+D15+D16</f>
        <v>1141291.7100065</v>
      </c>
    </row>
    <row r="19" customFormat="false" ht="30" hidden="false" customHeight="true" outlineLevel="0" collapsed="false">
      <c r="B19" s="38" t="s">
        <v>88</v>
      </c>
      <c r="C19" s="43" t="n">
        <f aca="false">'Historical Financials'!F43</f>
        <v>0</v>
      </c>
      <c r="D19" s="51" t="n">
        <f aca="false">D18-D9</f>
        <v>0</v>
      </c>
    </row>
    <row r="21" customFormat="false" ht="15" hidden="false" customHeight="true" outlineLevel="0" collapsed="false">
      <c r="B21" s="37" t="s">
        <v>289</v>
      </c>
      <c r="C21" s="37"/>
      <c r="D21" s="37"/>
      <c r="E21" s="37"/>
    </row>
    <row r="22" customFormat="false" ht="15" hidden="false" customHeight="false" outlineLevel="0" collapsed="false">
      <c r="B22" s="37"/>
      <c r="C22" s="37"/>
      <c r="D22" s="37"/>
      <c r="E22" s="37"/>
    </row>
    <row r="23" customFormat="false" ht="15" hidden="false" customHeight="false" outlineLevel="0" collapsed="false">
      <c r="B23" s="37"/>
      <c r="C23" s="37"/>
      <c r="D23" s="37"/>
      <c r="E23" s="37"/>
    </row>
    <row r="24" customFormat="false" ht="15" hidden="false" customHeight="false" outlineLevel="0" collapsed="false">
      <c r="B24" s="37"/>
      <c r="C24" s="37"/>
      <c r="D24" s="37"/>
      <c r="E24" s="37"/>
    </row>
  </sheetData>
  <mergeCells count="5">
    <mergeCell ref="A1:E1"/>
    <mergeCell ref="A2:E2"/>
    <mergeCell ref="A5:E5"/>
    <mergeCell ref="A11:E11"/>
    <mergeCell ref="B21:E24"/>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6"/>
    <col collapsed="false" customWidth="true" hidden="false" outlineLevel="0" max="4" min="4" style="1" width="40"/>
  </cols>
  <sheetData>
    <row r="1" customFormat="false" ht="21.75" hidden="false" customHeight="true" outlineLevel="0" collapsed="false">
      <c r="A1" s="10" t="s">
        <v>290</v>
      </c>
      <c r="B1" s="10"/>
      <c r="C1" s="10"/>
      <c r="D1" s="10"/>
    </row>
    <row r="2" customFormat="false" ht="15" hidden="false" customHeight="false" outlineLevel="0" collapsed="false">
      <c r="A2" s="11" t="s">
        <v>291</v>
      </c>
      <c r="B2" s="11"/>
      <c r="C2" s="11"/>
      <c r="D2" s="11"/>
    </row>
    <row r="4" customFormat="false" ht="25.5" hidden="false" customHeight="true" outlineLevel="0" collapsed="false">
      <c r="B4" s="12" t="s">
        <v>32</v>
      </c>
      <c r="C4" s="13" t="s">
        <v>226</v>
      </c>
      <c r="D4" s="13" t="s">
        <v>266</v>
      </c>
    </row>
    <row r="5" customFormat="false" ht="15.75" hidden="false" customHeight="true" outlineLevel="0" collapsed="false">
      <c r="A5" s="14" t="s">
        <v>292</v>
      </c>
      <c r="B5" s="14"/>
      <c r="C5" s="14"/>
      <c r="D5" s="14"/>
    </row>
    <row r="6" customFormat="false" ht="27.75" hidden="false" customHeight="true" outlineLevel="0" collapsed="false">
      <c r="B6" s="38" t="s">
        <v>293</v>
      </c>
      <c r="C6" s="43" t="n">
        <f aca="false">'Budgeted P&amp;L'!D20</f>
        <v>151943.637508128</v>
      </c>
      <c r="D6" s="34" t="s">
        <v>294</v>
      </c>
    </row>
    <row r="7" customFormat="false" ht="27.75" hidden="false" customHeight="true" outlineLevel="0" collapsed="false">
      <c r="B7" s="38" t="s">
        <v>295</v>
      </c>
      <c r="C7" s="43" t="n">
        <f aca="false">'Budgeted P&amp;L'!D12</f>
        <v>65458.72</v>
      </c>
      <c r="D7" s="34" t="s">
        <v>294</v>
      </c>
    </row>
    <row r="8" customFormat="false" ht="27.75" hidden="false" customHeight="true" outlineLevel="0" collapsed="false">
      <c r="B8" s="38" t="s">
        <v>296</v>
      </c>
      <c r="C8" s="43" t="n">
        <f aca="false">-('Budgeted P&amp;L'!D16+'Budgeted P&amp;L'!D17)</f>
        <v>-2575.3</v>
      </c>
      <c r="D8" s="34" t="s">
        <v>297</v>
      </c>
    </row>
    <row r="9" customFormat="false" ht="27.75" hidden="false" customHeight="true" outlineLevel="0" collapsed="false">
      <c r="B9" s="38" t="s">
        <v>298</v>
      </c>
      <c r="C9" s="43" t="n">
        <f aca="false">'Historical Financials'!F41-'Budgeted Balance Sheet'!D16</f>
        <v>27958.0318125</v>
      </c>
      <c r="D9" s="34" t="s">
        <v>299</v>
      </c>
    </row>
    <row r="10" customFormat="false" ht="27.75" hidden="false" customHeight="true" outlineLevel="0" collapsed="false">
      <c r="B10" s="38" t="s">
        <v>300</v>
      </c>
      <c r="C10" s="43" t="n">
        <f aca="false">'Budgeted Balance Sheet'!D8-'Historical Financials'!F33</f>
        <v>5102.8</v>
      </c>
      <c r="D10" s="34" t="s">
        <v>301</v>
      </c>
    </row>
    <row r="11" customFormat="false" ht="27.75" hidden="false" customHeight="true" outlineLevel="0" collapsed="false">
      <c r="B11" s="54" t="s">
        <v>302</v>
      </c>
      <c r="C11" s="63" t="n">
        <f aca="false">SUM(C6:C10)</f>
        <v>247887.889320628</v>
      </c>
    </row>
    <row r="13" customFormat="false" ht="15.75" hidden="false" customHeight="true" outlineLevel="0" collapsed="false">
      <c r="A13" s="14" t="s">
        <v>303</v>
      </c>
      <c r="B13" s="14"/>
      <c r="C13" s="14"/>
      <c r="D13" s="14"/>
    </row>
    <row r="14" customFormat="false" ht="27.75" hidden="false" customHeight="true" outlineLevel="0" collapsed="false">
      <c r="B14" s="38" t="s">
        <v>304</v>
      </c>
      <c r="C14" s="43" t="n">
        <f aca="false">-(('Budgeted Balance Sheet'!D12+'Budgeted Balance Sheet'!D13)-('Historical Financials'!F36+'Historical Financials'!F37)+'Budgeted P&amp;L'!D12)</f>
        <v>-55703.589225</v>
      </c>
      <c r="D14" s="34" t="s">
        <v>305</v>
      </c>
    </row>
    <row r="15" customFormat="false" ht="27.75" hidden="false" customHeight="true" outlineLevel="0" collapsed="false">
      <c r="B15" s="38" t="s">
        <v>306</v>
      </c>
      <c r="C15" s="43" t="n">
        <f aca="false">-('Budgeted Balance Sheet'!D17-'Historical Financials'!F38-'Budgeted P&amp;L'!D16-'Budgeted P&amp;L'!D17-'Budgeted P&amp;L'!D23)</f>
        <v>-155300.992594002</v>
      </c>
      <c r="D15" s="34" t="s">
        <v>307</v>
      </c>
    </row>
    <row r="16" customFormat="false" ht="27.75" hidden="false" customHeight="true" outlineLevel="0" collapsed="false">
      <c r="B16" s="38" t="s">
        <v>308</v>
      </c>
      <c r="C16" s="43" t="n">
        <f aca="false">-('Budgeted Balance Sheet'!D14-'Historical Financials'!F39)</f>
        <v>-6494.57999999999</v>
      </c>
      <c r="D16" s="34" t="s">
        <v>301</v>
      </c>
    </row>
    <row r="17" customFormat="false" ht="27.75" hidden="false" customHeight="true" outlineLevel="0" collapsed="false">
      <c r="B17" s="54" t="s">
        <v>309</v>
      </c>
      <c r="C17" s="63" t="n">
        <f aca="false">SUM(C14:C16)</f>
        <v>-217499.161819002</v>
      </c>
    </row>
    <row r="19" customFormat="false" ht="15.75" hidden="false" customHeight="true" outlineLevel="0" collapsed="false">
      <c r="A19" s="14" t="s">
        <v>310</v>
      </c>
      <c r="B19" s="14"/>
      <c r="C19" s="14"/>
      <c r="D19" s="14"/>
    </row>
    <row r="20" customFormat="false" ht="27.75" hidden="false" customHeight="true" outlineLevel="0" collapsed="false">
      <c r="B20" s="38" t="s">
        <v>69</v>
      </c>
      <c r="C20" s="43" t="n">
        <f aca="false">-'Budgeted P&amp;L'!D24</f>
        <v>-30388.7275016255</v>
      </c>
      <c r="D20" s="34" t="s">
        <v>294</v>
      </c>
    </row>
    <row r="21" customFormat="false" ht="27.75" hidden="false" customHeight="true" outlineLevel="0" collapsed="false">
      <c r="B21" s="38" t="s">
        <v>311</v>
      </c>
      <c r="C21" s="43" t="n">
        <f aca="false">'Budgeted Balance Sheet'!D7-'Historical Financials'!F32</f>
        <v>0</v>
      </c>
      <c r="D21" s="34" t="s">
        <v>312</v>
      </c>
    </row>
    <row r="22" customFormat="false" ht="27.75" hidden="false" customHeight="true" outlineLevel="0" collapsed="false">
      <c r="B22" s="54" t="s">
        <v>313</v>
      </c>
      <c r="C22" s="63" t="n">
        <f aca="false">SUM(C20:C21)</f>
        <v>-30388.7275016255</v>
      </c>
    </row>
    <row r="24" customFormat="false" ht="27.75" hidden="false" customHeight="true" outlineLevel="0" collapsed="false">
      <c r="B24" s="54" t="s">
        <v>314</v>
      </c>
      <c r="C24" s="63" t="n">
        <f aca="false">C11+C17+C22</f>
        <v>1.30967237055302E-010</v>
      </c>
    </row>
    <row r="25" customFormat="false" ht="27.75" hidden="false" customHeight="true" outlineLevel="0" collapsed="false">
      <c r="B25" s="38" t="s">
        <v>315</v>
      </c>
      <c r="C25" s="43" t="n">
        <f aca="false">'Historical Financials'!F40</f>
        <v>5529</v>
      </c>
    </row>
    <row r="26" customFormat="false" ht="27.75" hidden="false" customHeight="true" outlineLevel="0" collapsed="false">
      <c r="B26" s="54" t="s">
        <v>316</v>
      </c>
      <c r="C26" s="63" t="n">
        <f aca="false">C24+C25</f>
        <v>5529.00000000013</v>
      </c>
    </row>
    <row r="27" customFormat="false" ht="27.75" hidden="false" customHeight="true" outlineLevel="0" collapsed="false">
      <c r="B27" s="38" t="s">
        <v>317</v>
      </c>
      <c r="C27" s="43" t="n">
        <f aca="false">'Budgeted Balance Sheet'!D15</f>
        <v>5529</v>
      </c>
    </row>
    <row r="28" customFormat="false" ht="27.75" hidden="false" customHeight="true" outlineLevel="0" collapsed="false">
      <c r="B28" s="38" t="s">
        <v>318</v>
      </c>
      <c r="C28" s="43" t="n">
        <f aca="false">C26-C27</f>
        <v>1.30967237055302E-010</v>
      </c>
    </row>
  </sheetData>
  <mergeCells count="5">
    <mergeCell ref="A1:D1"/>
    <mergeCell ref="A2:D2"/>
    <mergeCell ref="A5:D5"/>
    <mergeCell ref="A13:D13"/>
    <mergeCell ref="A19:D1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7" min="3" style="1" width="14"/>
    <col collapsed="false" customWidth="true" hidden="false" outlineLevel="0" max="8" min="8" style="1" width="40"/>
  </cols>
  <sheetData>
    <row r="1" customFormat="false" ht="21.75" hidden="false" customHeight="true" outlineLevel="0" collapsed="false">
      <c r="A1" s="10" t="s">
        <v>319</v>
      </c>
      <c r="B1" s="10"/>
      <c r="C1" s="10"/>
      <c r="D1" s="10"/>
      <c r="E1" s="10"/>
      <c r="F1" s="10"/>
      <c r="G1" s="10"/>
      <c r="H1" s="10"/>
    </row>
    <row r="2" customFormat="false" ht="15" hidden="false" customHeight="false" outlineLevel="0" collapsed="false">
      <c r="A2" s="11" t="s">
        <v>320</v>
      </c>
      <c r="B2" s="11"/>
      <c r="C2" s="11"/>
      <c r="D2" s="11"/>
      <c r="E2" s="11"/>
      <c r="F2" s="11"/>
      <c r="G2" s="11"/>
      <c r="H2" s="11"/>
    </row>
    <row r="4" customFormat="false" ht="15.75" hidden="false" customHeight="true" outlineLevel="0" collapsed="false">
      <c r="A4" s="14" t="s">
        <v>321</v>
      </c>
      <c r="B4" s="14"/>
      <c r="C4" s="14"/>
      <c r="D4" s="14"/>
      <c r="E4" s="14"/>
      <c r="F4" s="14"/>
      <c r="G4" s="14"/>
      <c r="H4" s="14"/>
    </row>
    <row r="5" customFormat="false" ht="25.5" hidden="false" customHeight="true" outlineLevel="0" collapsed="false">
      <c r="B5" s="12" t="s">
        <v>32</v>
      </c>
      <c r="C5" s="13" t="s">
        <v>322</v>
      </c>
    </row>
    <row r="6" customFormat="false" ht="30" hidden="false" customHeight="true" outlineLevel="0" collapsed="false">
      <c r="B6" s="38" t="s">
        <v>39</v>
      </c>
      <c r="C6" s="43"/>
      <c r="D6" s="51" t="n">
        <f aca="false">'Budgeted P&amp;L'!D5</f>
        <v>1693893.7575</v>
      </c>
      <c r="E6" s="34"/>
    </row>
    <row r="7" customFormat="false" ht="30" hidden="false" customHeight="true" outlineLevel="0" collapsed="false">
      <c r="B7" s="38" t="s">
        <v>49</v>
      </c>
      <c r="C7" s="43"/>
      <c r="D7" s="51" t="n">
        <f aca="false">'Budgeted P&amp;L'!D10</f>
        <v>220206.188475</v>
      </c>
      <c r="E7" s="34"/>
    </row>
    <row r="8" customFormat="false" ht="30" hidden="false" customHeight="true" outlineLevel="0" collapsed="false">
      <c r="B8" s="38" t="s">
        <v>51</v>
      </c>
      <c r="C8" s="32"/>
      <c r="D8" s="47" t="n">
        <f aca="false">D7/D6</f>
        <v>0.13</v>
      </c>
      <c r="E8" s="34"/>
    </row>
    <row r="9" customFormat="false" ht="30" hidden="false" customHeight="true" outlineLevel="0" collapsed="false">
      <c r="B9" s="38" t="s">
        <v>323</v>
      </c>
      <c r="C9" s="43"/>
      <c r="D9" s="51" t="n">
        <f aca="false">'Budgeted P&amp;L'!D20</f>
        <v>151943.637508128</v>
      </c>
      <c r="E9" s="34"/>
    </row>
    <row r="11" customFormat="false" ht="15.75" hidden="false" customHeight="true" outlineLevel="0" collapsed="false">
      <c r="A11" s="14" t="s">
        <v>324</v>
      </c>
      <c r="B11" s="14"/>
      <c r="C11" s="14"/>
      <c r="D11" s="14"/>
      <c r="E11" s="14"/>
      <c r="F11" s="14"/>
      <c r="G11" s="14"/>
      <c r="H11" s="14"/>
    </row>
    <row r="12" customFormat="false" ht="25.5" hidden="false" customHeight="true" outlineLevel="0" collapsed="false">
      <c r="B12" s="12" t="s">
        <v>325</v>
      </c>
      <c r="C12" s="13" t="s">
        <v>326</v>
      </c>
      <c r="D12" s="13" t="s">
        <v>327</v>
      </c>
      <c r="E12" s="13" t="s">
        <v>328</v>
      </c>
      <c r="F12" s="13" t="s">
        <v>329</v>
      </c>
      <c r="G12" s="13" t="s">
        <v>330</v>
      </c>
      <c r="H12" s="13" t="s">
        <v>331</v>
      </c>
    </row>
    <row r="13" customFormat="false" ht="69.75" hidden="false" customHeight="true" outlineLevel="0" collapsed="false">
      <c r="B13" s="31" t="s">
        <v>332</v>
      </c>
      <c r="C13" s="34" t="s">
        <v>333</v>
      </c>
      <c r="D13" s="64" t="n">
        <f aca="false">(('Budgeted P&amp;L'!D5*(1.058/1.108)))-(((('Budgeted P&amp;L'!D5*(1.058/1.108)))*(Assumptions!$D$10))+((('Budgeted P&amp;L'!D5*(1.058/1.108)))*(Assumptions!$D$11))+((('Budgeted P&amp;L'!D5*(1.058/1.108)))*(Assumptions!$D$12)))</f>
        <v>210269.086106995</v>
      </c>
      <c r="E13" s="64" t="n">
        <f aca="false">D13-D7</f>
        <v>-9937.10236800532</v>
      </c>
      <c r="F13" s="64" t="n">
        <f aca="false">((((('Budgeted P&amp;L'!D5*(1.058/1.108)))-(((('Budgeted P&amp;L'!D5*(1.058/1.108)))*(Assumptions!$D$10))+((('Budgeted P&amp;L'!D5*(1.058/1.108)))*(Assumptions!$D$11))+((('Budgeted P&amp;L'!D5*(1.058/1.108)))*(Assumptions!$D$12))))-('Budgeted P&amp;L'!D12))+('Budgeted P&amp;L'!D14)-('Budgeted P&amp;L'!D15)+('Budgeted P&amp;L'!D16)+('Budgeted P&amp;L'!D17))*(1-(Assumptions!$D$22))</f>
        <v>144581.238363672</v>
      </c>
      <c r="G13" s="64" t="n">
        <f aca="false">F13-D9</f>
        <v>-7362.39914445515</v>
      </c>
      <c r="H13" s="34" t="s">
        <v>334</v>
      </c>
    </row>
    <row r="14" customFormat="false" ht="69.75" hidden="false" customHeight="true" outlineLevel="0" collapsed="false">
      <c r="B14" s="31" t="s">
        <v>335</v>
      </c>
      <c r="C14" s="34" t="s">
        <v>336</v>
      </c>
      <c r="D14" s="64" t="n">
        <f aca="false">('Budgeted P&amp;L'!D5)-((('Budgeted P&amp;L'!D5)*(Assumptions!$D$10*1.1))+(('Budgeted P&amp;L'!D5)*(Assumptions!$D$11))+(('Budgeted P&amp;L'!D5)*(Assumptions!$D$12)))</f>
        <v>99431.56356525</v>
      </c>
      <c r="E14" s="64" t="n">
        <f aca="false">D14-D7</f>
        <v>-120774.62490975</v>
      </c>
      <c r="F14" s="64" t="n">
        <f aca="false">(((('Budgeted P&amp;L'!D5)-((('Budgeted P&amp;L'!D5)*(Assumptions!$D$10*1.1))+(('Budgeted P&amp;L'!D5)*(Assumptions!$D$11))+(('Budgeted P&amp;L'!D5)*(Assumptions!$D$12))))-('Budgeted P&amp;L'!D12))+('Budgeted P&amp;L'!D14)-('Budgeted P&amp;L'!D15)+('Budgeted P&amp;L'!D16)+('Budgeted P&amp;L'!D17))*(1-(Assumptions!$D$22))</f>
        <v>62461.7179124937</v>
      </c>
      <c r="G14" s="64" t="n">
        <f aca="false">F14-D9</f>
        <v>-89481.9195956338</v>
      </c>
      <c r="H14" s="34" t="s">
        <v>337</v>
      </c>
    </row>
    <row r="15" customFormat="false" ht="69.75" hidden="false" customHeight="true" outlineLevel="0" collapsed="false">
      <c r="B15" s="31" t="s">
        <v>338</v>
      </c>
      <c r="C15" s="34" t="s">
        <v>339</v>
      </c>
      <c r="D15" s="64" t="n">
        <f aca="false">('Budgeted P&amp;L'!D5)-((('Budgeted P&amp;L'!D5)*(Assumptions!$D$10))+(('Budgeted P&amp;L'!D5)*(Assumptions!$D$11*1.08))+(('Budgeted P&amp;L'!D5)*(Assumptions!$D$12)))</f>
        <v>213837.1479468</v>
      </c>
      <c r="E15" s="64" t="n">
        <f aca="false">D15-D7</f>
        <v>-6369.04052819987</v>
      </c>
      <c r="F15" s="64" t="n">
        <f aca="false">(((('Budgeted P&amp;L'!D5)-((('Budgeted P&amp;L'!D5)*(Assumptions!$D$10))+(('Budgeted P&amp;L'!D5)*(Assumptions!$D$11*1.08))+(('Budgeted P&amp;L'!D5)*(Assumptions!$D$12))))-('Budgeted P&amp;L'!D12))+('Budgeted P&amp;L'!D14)-('Budgeted P&amp;L'!D15)+('Budgeted P&amp;L'!D16)+('Budgeted P&amp;L'!D17))*(1-(Assumptions!$D$22))</f>
        <v>147224.815380784</v>
      </c>
      <c r="G15" s="64" t="n">
        <f aca="false">F15-D9</f>
        <v>-4718.8221273433</v>
      </c>
      <c r="H15" s="34" t="s">
        <v>340</v>
      </c>
    </row>
    <row r="17" customFormat="false" ht="15.75" hidden="false" customHeight="true" outlineLevel="0" collapsed="false">
      <c r="A17" s="14" t="s">
        <v>341</v>
      </c>
      <c r="B17" s="14"/>
      <c r="C17" s="14"/>
      <c r="D17" s="14"/>
      <c r="E17" s="14"/>
      <c r="F17" s="14"/>
      <c r="G17" s="14"/>
      <c r="H17" s="14"/>
    </row>
    <row r="18" customFormat="false" ht="39.75" hidden="false" customHeight="true" outlineLevel="0" collapsed="false">
      <c r="B18" s="31" t="s">
        <v>342</v>
      </c>
      <c r="D18" s="65" t="n">
        <f aca="false">(('Budgeted P&amp;L'!D5*(1.058/1.108)))-(((('Budgeted P&amp;L'!D5*(1.058/1.108)))*(Assumptions!$D$10*1.1))+((('Budgeted P&amp;L'!D5*(1.058/1.108)))*(Assumptions!$D$11*1.08))+((('Budgeted P&amp;L'!D5*(1.058/1.108)))*(Assumptions!$D$12)))</f>
        <v>88862.9506978327</v>
      </c>
      <c r="E18" s="65" t="n">
        <f aca="false">D18-D7</f>
        <v>-131343.237777167</v>
      </c>
      <c r="F18" s="65" t="n">
        <f aca="false">((((('Budgeted P&amp;L'!D5*(1.058/1.108)))-(((('Budgeted P&amp;L'!D5*(1.058/1.108)))*(Assumptions!$D$10*1.1))+((('Budgeted P&amp;L'!D5*(1.058/1.108)))*(Assumptions!$D$11*1.08))+((('Budgeted P&amp;L'!D5*(1.058/1.108)))*(Assumptions!$D$12))))-('Budgeted P&amp;L'!D12))+('Budgeted P&amp;L'!D14)-('Budgeted P&amp;L'!D15)+('Budgeted P&amp;L'!D16)+('Budgeted P&amp;L'!D17))*(1-(Assumptions!$D$22))</f>
        <v>54631.4326390243</v>
      </c>
      <c r="G18" s="65" t="n">
        <f aca="false">F18-D9</f>
        <v>-97312.2048691032</v>
      </c>
      <c r="H18" s="66" t="s">
        <v>343</v>
      </c>
    </row>
    <row r="20" customFormat="false" ht="15" hidden="false" customHeight="true" outlineLevel="0" collapsed="false">
      <c r="B20" s="37" t="s">
        <v>344</v>
      </c>
      <c r="C20" s="37"/>
      <c r="D20" s="37"/>
      <c r="E20" s="37"/>
      <c r="F20" s="37"/>
      <c r="G20" s="37"/>
      <c r="H20" s="37"/>
    </row>
    <row r="21" customFormat="false" ht="15" hidden="false" customHeight="false" outlineLevel="0" collapsed="false">
      <c r="B21" s="37"/>
      <c r="C21" s="37"/>
      <c r="D21" s="37"/>
      <c r="E21" s="37"/>
      <c r="F21" s="37"/>
      <c r="G21" s="37"/>
      <c r="H21" s="37"/>
    </row>
    <row r="22" customFormat="false" ht="15" hidden="false" customHeight="false" outlineLevel="0" collapsed="false">
      <c r="B22" s="37"/>
      <c r="C22" s="37"/>
      <c r="D22" s="37"/>
      <c r="E22" s="37"/>
      <c r="F22" s="37"/>
      <c r="G22" s="37"/>
      <c r="H22" s="37"/>
    </row>
    <row r="23" customFormat="false" ht="15" hidden="false" customHeight="false" outlineLevel="0" collapsed="false">
      <c r="B23" s="37"/>
      <c r="C23" s="37"/>
      <c r="D23" s="37"/>
      <c r="E23" s="37"/>
      <c r="F23" s="37"/>
      <c r="G23" s="37"/>
      <c r="H23" s="37"/>
    </row>
    <row r="25" customFormat="false" ht="15.75" hidden="false" customHeight="true" outlineLevel="0" collapsed="false">
      <c r="A25" s="14" t="s">
        <v>345</v>
      </c>
      <c r="B25" s="14"/>
      <c r="C25" s="14"/>
      <c r="D25" s="14"/>
      <c r="E25" s="14"/>
      <c r="F25" s="14"/>
      <c r="G25" s="14"/>
      <c r="H25" s="14"/>
    </row>
    <row r="26" customFormat="false" ht="39.75" hidden="false" customHeight="true" outlineLevel="0" collapsed="false">
      <c r="B26" s="31" t="s">
        <v>346</v>
      </c>
      <c r="D26" s="67" t="n">
        <f aca="false">(('Budgeted P&amp;L'!D5*(1.158/1.108)))-(((('Budgeted P&amp;L'!D5*(1.158/1.108)))*(Assumptions!$D$10*0.9))+((('Budgeted P&amp;L'!D5*(1.158/1.108)))*(Assumptions!$D$11*0.92))+((('Budgeted P&amp;L'!D5*(1.158/1.108)))*(Assumptions!$D$12)))</f>
        <v>363024.486309744</v>
      </c>
      <c r="E26" s="67" t="n">
        <f aca="false">D26-D7</f>
        <v>142818.297834744</v>
      </c>
      <c r="F26" s="67" t="n">
        <f aca="false">((((('Budgeted P&amp;L'!D5*(1.158/1.108)))-(((('Budgeted P&amp;L'!D5*(1.158/1.108)))*(Assumptions!$D$10*0.9))+((('Budgeted P&amp;L'!D5*(1.158/1.108)))*(Assumptions!$D$11*0.92))+((('Budgeted P&amp;L'!D5*(1.158/1.108)))*(Assumptions!$D$12))))-('Budgeted P&amp;L'!D12))+('Budgeted P&amp;L'!D14)-('Budgeted P&amp;L'!D15)+('Budgeted P&amp;L'!D16)+('Budgeted P&amp;L'!D17))*(1-(Assumptions!$D$22))</f>
        <v>257757.714373889</v>
      </c>
      <c r="G26" s="67" t="n">
        <f aca="false">F26-D9</f>
        <v>105814.076865762</v>
      </c>
      <c r="H26" s="66" t="s">
        <v>347</v>
      </c>
    </row>
    <row r="28" customFormat="false" ht="15.75" hidden="false" customHeight="true" outlineLevel="0" collapsed="false">
      <c r="A28" s="14" t="s">
        <v>348</v>
      </c>
      <c r="B28" s="14"/>
      <c r="C28" s="14"/>
      <c r="D28" s="14"/>
      <c r="E28" s="14"/>
      <c r="F28" s="14"/>
      <c r="G28" s="14"/>
      <c r="H28" s="14"/>
    </row>
    <row r="29" customFormat="false" ht="25.5" hidden="false" customHeight="true" outlineLevel="0" collapsed="false">
      <c r="B29" s="12" t="s">
        <v>349</v>
      </c>
      <c r="C29" s="13" t="s">
        <v>350</v>
      </c>
      <c r="D29" s="13" t="s">
        <v>51</v>
      </c>
      <c r="E29" s="13" t="s">
        <v>351</v>
      </c>
      <c r="F29" s="13" t="s">
        <v>66</v>
      </c>
      <c r="G29" s="13" t="s">
        <v>352</v>
      </c>
    </row>
    <row r="30" customFormat="false" ht="15" hidden="false" customHeight="false" outlineLevel="0" collapsed="false">
      <c r="B30" s="5" t="s">
        <v>353</v>
      </c>
      <c r="C30" s="68" t="n">
        <f aca="false">D18</f>
        <v>88862.9506978327</v>
      </c>
      <c r="D30" s="69" t="n">
        <f aca="false">D18/D6</f>
        <v>0.0524607581227436</v>
      </c>
      <c r="E30" s="68" t="n">
        <f aca="false">F18</f>
        <v>54631.4326390243</v>
      </c>
      <c r="F30" s="69" t="n">
        <f aca="false">F18/D6</f>
        <v>0.0322519829813023</v>
      </c>
      <c r="G30" s="68" t="n">
        <f aca="false">F18-D9</f>
        <v>-97312.2048691032</v>
      </c>
    </row>
    <row r="31" customFormat="false" ht="15" hidden="false" customHeight="false" outlineLevel="0" collapsed="false">
      <c r="B31" s="5" t="s">
        <v>354</v>
      </c>
      <c r="C31" s="68" t="n">
        <f aca="false">D7</f>
        <v>220206.188475</v>
      </c>
      <c r="D31" s="69" t="n">
        <f aca="false">D7/D6</f>
        <v>0.13</v>
      </c>
      <c r="E31" s="68" t="n">
        <f aca="false">D9</f>
        <v>151943.637508128</v>
      </c>
      <c r="F31" s="69" t="n">
        <f aca="false">D9/D6</f>
        <v>0.0897008072881616</v>
      </c>
      <c r="G31" s="68" t="n">
        <v>0</v>
      </c>
    </row>
    <row r="32" customFormat="false" ht="15" hidden="false" customHeight="false" outlineLevel="0" collapsed="false">
      <c r="B32" s="5" t="s">
        <v>355</v>
      </c>
      <c r="C32" s="68" t="n">
        <f aca="false">D26</f>
        <v>363024.486309744</v>
      </c>
      <c r="D32" s="69" t="n">
        <f aca="false">D26/D6</f>
        <v>0.214313610108303</v>
      </c>
      <c r="E32" s="68" t="n">
        <f aca="false">F26</f>
        <v>257757.714373889</v>
      </c>
      <c r="F32" s="69" t="n">
        <f aca="false">F26/D6</f>
        <v>0.152168761017403</v>
      </c>
      <c r="G32" s="68" t="n">
        <f aca="false">F26-D9</f>
        <v>105814.076865762</v>
      </c>
    </row>
    <row r="34" customFormat="false" ht="15.75" hidden="false" customHeight="true" outlineLevel="0" collapsed="false">
      <c r="A34" s="14" t="s">
        <v>356</v>
      </c>
      <c r="B34" s="14"/>
      <c r="C34" s="14"/>
      <c r="D34" s="14"/>
      <c r="E34" s="14"/>
      <c r="F34" s="14"/>
      <c r="G34" s="14"/>
      <c r="H34" s="14"/>
    </row>
    <row r="35" customFormat="false" ht="35.05" hidden="false" customHeight="false" outlineLevel="0" collapsed="false">
      <c r="B35" s="38" t="s">
        <v>357</v>
      </c>
      <c r="H35" s="16" t="s">
        <v>358</v>
      </c>
    </row>
    <row r="36" customFormat="false" ht="15" hidden="false" customHeight="false" outlineLevel="0" collapsed="false">
      <c r="B36" s="6" t="s">
        <v>359</v>
      </c>
      <c r="C36" s="70" t="s">
        <v>360</v>
      </c>
      <c r="D36" s="19" t="n">
        <f aca="false">(((('Budgeted P&amp;L'!D5)-(('Budgeted P&amp;L'!D5)*(Assumptions!$D$10*(1+M36)))-(('Budgeted P&amp;L'!D5)*(Assumptions!$D$11))-(('Budgeted P&amp;L'!D5)*(Assumptions!$D$12)))-('Budgeted P&amp;L'!D12))+('Budgeted P&amp;L'!D14)-('Budgeted P&amp;L'!D15)+('Budgeted P&amp;L'!D16)+('Budgeted P&amp;L'!D17))*(1-(Assumptions!$D$22))</f>
        <v>144964.047779668</v>
      </c>
      <c r="E36" s="68" t="n">
        <f aca="false">'Historical Financials'!F21</f>
        <v>145002</v>
      </c>
      <c r="F36" s="70" t="s">
        <v>361</v>
      </c>
      <c r="M36" s="71" t="n">
        <v>0.0078</v>
      </c>
    </row>
    <row r="38" customFormat="false" ht="15" hidden="false" customHeight="true" outlineLevel="0" collapsed="false">
      <c r="B38" s="37" t="s">
        <v>362</v>
      </c>
      <c r="C38" s="37"/>
      <c r="D38" s="37"/>
      <c r="E38" s="37"/>
      <c r="F38" s="37"/>
      <c r="G38" s="37"/>
      <c r="H38" s="37"/>
    </row>
    <row r="39" customFormat="false" ht="15" hidden="false" customHeight="false" outlineLevel="0" collapsed="false">
      <c r="B39" s="37"/>
      <c r="C39" s="37"/>
      <c r="D39" s="37"/>
      <c r="E39" s="37"/>
      <c r="F39" s="37"/>
      <c r="G39" s="37"/>
      <c r="H39" s="37"/>
    </row>
    <row r="40" customFormat="false" ht="15" hidden="false" customHeight="false" outlineLevel="0" collapsed="false">
      <c r="B40" s="37"/>
      <c r="C40" s="37"/>
      <c r="D40" s="37"/>
      <c r="E40" s="37"/>
      <c r="F40" s="37"/>
      <c r="G40" s="37"/>
      <c r="H40" s="37"/>
    </row>
    <row r="41" customFormat="false" ht="15" hidden="false" customHeight="false" outlineLevel="0" collapsed="false">
      <c r="B41" s="37"/>
      <c r="C41" s="37"/>
      <c r="D41" s="37"/>
      <c r="E41" s="37"/>
      <c r="F41" s="37"/>
      <c r="G41" s="37"/>
      <c r="H41" s="37"/>
    </row>
  </sheetData>
  <mergeCells count="10">
    <mergeCell ref="A1:H1"/>
    <mergeCell ref="A2:H2"/>
    <mergeCell ref="A4:H4"/>
    <mergeCell ref="A11:H11"/>
    <mergeCell ref="A17:H17"/>
    <mergeCell ref="B20:H23"/>
    <mergeCell ref="A25:H25"/>
    <mergeCell ref="A28:H28"/>
    <mergeCell ref="A34:H34"/>
    <mergeCell ref="B38:H41"/>
  </mergeCells>
  <conditionalFormatting sqref="E13:E15">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G13:G15">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7" min="3" style="1" width="12"/>
  </cols>
  <sheetData>
    <row r="1" customFormat="false" ht="21.75" hidden="false" customHeight="true" outlineLevel="0" collapsed="false">
      <c r="A1" s="10" t="s">
        <v>363</v>
      </c>
      <c r="B1" s="10"/>
      <c r="C1" s="10"/>
      <c r="D1" s="10"/>
      <c r="E1" s="10"/>
      <c r="F1" s="10"/>
      <c r="G1" s="10"/>
    </row>
    <row r="2" customFormat="false" ht="15" hidden="false" customHeight="false" outlineLevel="0" collapsed="false">
      <c r="A2" s="11" t="s">
        <v>364</v>
      </c>
      <c r="B2" s="11"/>
      <c r="C2" s="11"/>
      <c r="D2" s="11"/>
      <c r="E2" s="11"/>
      <c r="F2" s="11"/>
      <c r="G2" s="11"/>
    </row>
    <row r="4" customFormat="false" ht="25.5" hidden="false" customHeight="true" outlineLevel="0" collapsed="false">
      <c r="B4" s="12" t="s">
        <v>32</v>
      </c>
      <c r="C4" s="13" t="s">
        <v>33</v>
      </c>
      <c r="D4" s="13" t="s">
        <v>34</v>
      </c>
      <c r="E4" s="13" t="s">
        <v>35</v>
      </c>
      <c r="F4" s="13" t="s">
        <v>36</v>
      </c>
      <c r="G4" s="13" t="s">
        <v>108</v>
      </c>
    </row>
    <row r="5" customFormat="false" ht="15" hidden="false" customHeight="false" outlineLevel="0" collapsed="false">
      <c r="B5" s="6" t="s">
        <v>39</v>
      </c>
      <c r="C5" s="68" t="n">
        <f aca="false">'Historical Financials'!C6</f>
        <v>883298</v>
      </c>
      <c r="D5" s="68" t="n">
        <f aca="false">'Historical Financials'!D6</f>
        <v>1184099</v>
      </c>
      <c r="E5" s="68" t="n">
        <f aca="false">'Historical Financials'!E6</f>
        <v>1418582</v>
      </c>
      <c r="F5" s="68" t="n">
        <f aca="false">'Historical Financials'!F6</f>
        <v>1529130</v>
      </c>
      <c r="G5" s="68" t="n">
        <f aca="false">'Budgeted P&amp;L'!D5</f>
        <v>1693893.7575</v>
      </c>
    </row>
    <row r="6" customFormat="false" ht="15" hidden="false" customHeight="false" outlineLevel="0" collapsed="false">
      <c r="B6" s="6" t="s">
        <v>49</v>
      </c>
      <c r="C6" s="68" t="n">
        <f aca="false">'Historical Financials'!C11</f>
        <v>57062</v>
      </c>
      <c r="D6" s="68" t="n">
        <f aca="false">'Historical Financials'!D11</f>
        <v>130944</v>
      </c>
      <c r="E6" s="68" t="n">
        <f aca="false">'Historical Financials'!E11</f>
        <v>185263</v>
      </c>
      <c r="F6" s="68" t="n">
        <f aca="false">'Historical Financials'!F11</f>
        <v>201563</v>
      </c>
      <c r="G6" s="68" t="n">
        <f aca="false">'Budgeted P&amp;L'!D10</f>
        <v>220206.188475</v>
      </c>
    </row>
    <row r="7" customFormat="false" ht="15" hidden="false" customHeight="false" outlineLevel="0" collapsed="false">
      <c r="B7" s="6" t="s">
        <v>323</v>
      </c>
      <c r="C7" s="68" t="n">
        <f aca="false">'Historical Financials'!C21</f>
        <v>38795</v>
      </c>
      <c r="D7" s="68" t="n">
        <f aca="false">'Historical Financials'!D21</f>
        <v>82637</v>
      </c>
      <c r="E7" s="68" t="n">
        <f aca="false">'Historical Financials'!E21</f>
        <v>134882</v>
      </c>
      <c r="F7" s="68" t="n">
        <f aca="false">'Historical Financials'!F21</f>
        <v>145002</v>
      </c>
      <c r="G7" s="68" t="n">
        <f aca="false">'Budgeted P&amp;L'!D20</f>
        <v>151943.637508128</v>
      </c>
    </row>
    <row r="8" customFormat="false" ht="15" hidden="false" customHeight="false" outlineLevel="0" collapsed="false">
      <c r="B8" s="6" t="s">
        <v>51</v>
      </c>
      <c r="C8" s="69" t="n">
        <f aca="false">C6/C5</f>
        <v>0.0646010746090221</v>
      </c>
      <c r="D8" s="69" t="n">
        <f aca="false">D6/D5</f>
        <v>0.110585348015664</v>
      </c>
      <c r="E8" s="69" t="n">
        <f aca="false">E6/E5</f>
        <v>0.130597314783354</v>
      </c>
      <c r="F8" s="69" t="n">
        <f aca="false">F6/F5</f>
        <v>0.131815476774375</v>
      </c>
      <c r="G8" s="69" t="n">
        <f aca="false">G6/G5</f>
        <v>0.13</v>
      </c>
    </row>
    <row r="9" customFormat="false" ht="15" hidden="false" customHeight="false" outlineLevel="0" collapsed="false">
      <c r="B9" s="6" t="s">
        <v>66</v>
      </c>
      <c r="C9" s="69" t="n">
        <f aca="false">C7/C5</f>
        <v>0.0439206247495183</v>
      </c>
      <c r="D9" s="69" t="n">
        <f aca="false">D7/D5</f>
        <v>0.0697889281217196</v>
      </c>
      <c r="E9" s="69" t="n">
        <f aca="false">E7/E5</f>
        <v>0.0950822722972659</v>
      </c>
      <c r="F9" s="69" t="n">
        <f aca="false">F7/F5</f>
        <v>0.094826469953503</v>
      </c>
      <c r="G9" s="69" t="n">
        <f aca="false">G7/G5</f>
        <v>0.0897008072881616</v>
      </c>
    </row>
    <row r="10" customFormat="false" ht="15" hidden="false" customHeight="false" outlineLevel="0" collapsed="false">
      <c r="B10" s="6" t="s">
        <v>120</v>
      </c>
      <c r="C10" s="69" t="n">
        <f aca="false">'Historical Financials'!C7/'Historical Financials'!C6</f>
        <v>0.7485389981637</v>
      </c>
      <c r="D10" s="69" t="n">
        <f aca="false">'Historical Financials'!D7/'Historical Financials'!D6</f>
        <v>0.724077969831914</v>
      </c>
      <c r="E10" s="69" t="n">
        <f aca="false">'Historical Financials'!E7/'Historical Financials'!E6</f>
        <v>0.704692432302116</v>
      </c>
      <c r="F10" s="69" t="n">
        <f aca="false">'Historical Financials'!F7/'Historical Financials'!F6</f>
        <v>0.705976601073813</v>
      </c>
      <c r="G10" s="69" t="n">
        <f aca="false">Assumptions!D10</f>
        <v>0.713</v>
      </c>
    </row>
    <row r="11" customFormat="false" ht="15" hidden="false" customHeight="false" outlineLevel="0" collapsed="false">
      <c r="B11" s="6" t="s">
        <v>123</v>
      </c>
      <c r="C11" s="69" t="n">
        <f aca="false">'Historical Financials'!C8/'Historical Financials'!C6</f>
        <v>0.0458169270167033</v>
      </c>
      <c r="D11" s="69" t="n">
        <f aca="false">'Historical Financials'!D8/'Historical Financials'!D6</f>
        <v>0.0443273746536396</v>
      </c>
      <c r="E11" s="69" t="n">
        <f aca="false">'Historical Financials'!E8/'Historical Financials'!E6</f>
        <v>0.0441617051393575</v>
      </c>
      <c r="F11" s="69" t="n">
        <f aca="false">'Historical Financials'!F8/'Historical Financials'!F6</f>
        <v>0.0450687645916305</v>
      </c>
      <c r="G11" s="69" t="n">
        <f aca="false">Assumptions!D11</f>
        <v>0.047</v>
      </c>
    </row>
    <row r="12" customFormat="false" ht="15" hidden="false" customHeight="false" outlineLevel="0" collapsed="false">
      <c r="B12" s="6" t="s">
        <v>126</v>
      </c>
      <c r="C12" s="69" t="n">
        <f aca="false">'Historical Financials'!C9/'Historical Financials'!C6</f>
        <v>0.141043000210574</v>
      </c>
      <c r="D12" s="69" t="n">
        <f aca="false">'Historical Financials'!D9/'Historical Financials'!D6</f>
        <v>0.121009307498782</v>
      </c>
      <c r="E12" s="69" t="n">
        <f aca="false">'Historical Financials'!E9/'Historical Financials'!E6</f>
        <v>0.120548547775173</v>
      </c>
      <c r="F12" s="69" t="n">
        <f aca="false">'Historical Financials'!F9/'Historical Financials'!F6</f>
        <v>0.117139157560181</v>
      </c>
      <c r="G12" s="69" t="n">
        <f aca="false">Assumptions!D12</f>
        <v>0.11</v>
      </c>
    </row>
  </sheetData>
  <mergeCells count="2">
    <mergeCell ref="A1:G1"/>
    <mergeCell ref="A2:G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7" min="3" style="1" width="11"/>
    <col collapsed="false" customWidth="true" hidden="false" outlineLevel="0" max="8" min="8" style="1" width="40"/>
  </cols>
  <sheetData>
    <row r="1" customFormat="false" ht="21.75" hidden="false" customHeight="true" outlineLevel="0" collapsed="false">
      <c r="A1" s="10" t="s">
        <v>365</v>
      </c>
      <c r="B1" s="10"/>
      <c r="C1" s="10"/>
      <c r="D1" s="10"/>
      <c r="E1" s="10"/>
      <c r="F1" s="10"/>
      <c r="G1" s="10"/>
      <c r="H1" s="10"/>
    </row>
    <row r="2" customFormat="false" ht="15" hidden="false" customHeight="false" outlineLevel="0" collapsed="false">
      <c r="A2" s="11" t="s">
        <v>366</v>
      </c>
      <c r="B2" s="11"/>
      <c r="C2" s="11"/>
      <c r="D2" s="11"/>
      <c r="E2" s="11"/>
      <c r="F2" s="11"/>
      <c r="G2" s="11"/>
      <c r="H2" s="11"/>
    </row>
    <row r="4" customFormat="false" ht="25.5" hidden="false" customHeight="true" outlineLevel="0" collapsed="false">
      <c r="B4" s="12" t="s">
        <v>367</v>
      </c>
      <c r="C4" s="13" t="s">
        <v>33</v>
      </c>
      <c r="D4" s="13" t="s">
        <v>34</v>
      </c>
      <c r="E4" s="13" t="s">
        <v>35</v>
      </c>
      <c r="F4" s="13" t="s">
        <v>36</v>
      </c>
      <c r="G4" s="13" t="s">
        <v>108</v>
      </c>
      <c r="H4" s="13" t="s">
        <v>368</v>
      </c>
    </row>
    <row r="5" customFormat="false" ht="15.75" hidden="false" customHeight="true" outlineLevel="0" collapsed="false">
      <c r="A5" s="14" t="s">
        <v>369</v>
      </c>
      <c r="B5" s="14"/>
      <c r="C5" s="14"/>
      <c r="D5" s="14"/>
      <c r="E5" s="14"/>
      <c r="F5" s="14"/>
      <c r="G5" s="14"/>
      <c r="H5" s="14"/>
    </row>
    <row r="6" customFormat="false" ht="30" hidden="false" customHeight="true" outlineLevel="0" collapsed="false">
      <c r="B6" s="38" t="s">
        <v>51</v>
      </c>
      <c r="C6" s="32" t="n">
        <f aca="false">'Historical Financials'!C12</f>
        <v>0.0646010746090221</v>
      </c>
      <c r="D6" s="32" t="n">
        <f aca="false">'Historical Financials'!D12</f>
        <v>0.110585348015664</v>
      </c>
      <c r="E6" s="32" t="n">
        <f aca="false">'Historical Financials'!E12</f>
        <v>0.130597314783354</v>
      </c>
      <c r="F6" s="32" t="n">
        <f aca="false">'Historical Financials'!F12</f>
        <v>0.131815476774375</v>
      </c>
      <c r="G6" s="72" t="n">
        <f aca="false">'Budgeted P&amp;L'!D11</f>
        <v>0.13</v>
      </c>
      <c r="H6" s="16" t="s">
        <v>258</v>
      </c>
    </row>
    <row r="7" customFormat="false" ht="30" hidden="false" customHeight="true" outlineLevel="0" collapsed="false">
      <c r="B7" s="38" t="s">
        <v>370</v>
      </c>
      <c r="C7" s="32" t="n">
        <f aca="false">'Historical Financials'!C14/'Historical Financials'!C6</f>
        <v>0.0330262267094457</v>
      </c>
      <c r="D7" s="32" t="n">
        <f aca="false">'Historical Financials'!D14/'Historical Financials'!D6</f>
        <v>0.0696597159528046</v>
      </c>
      <c r="E7" s="32" t="n">
        <f aca="false">'Historical Financials'!E14/'Historical Financials'!E6</f>
        <v>0.0935476412361076</v>
      </c>
      <c r="F7" s="32" t="n">
        <f aca="false">'Historical Financials'!F14/'Historical Financials'!F6</f>
        <v>0.0951397199714871</v>
      </c>
      <c r="G7" s="72" t="n">
        <f aca="false">'Budgeted P&amp;L'!D13/'Budgeted P&amp;L'!D5</f>
        <v>0.0913560651545172</v>
      </c>
      <c r="H7" s="16" t="s">
        <v>371</v>
      </c>
    </row>
    <row r="8" customFormat="false" ht="30" hidden="false" customHeight="true" outlineLevel="0" collapsed="false">
      <c r="B8" s="38" t="s">
        <v>66</v>
      </c>
      <c r="C8" s="32" t="n">
        <f aca="false">'Historical Financials'!C22</f>
        <v>0.0439206247495183</v>
      </c>
      <c r="D8" s="32" t="n">
        <f aca="false">'Historical Financials'!D22</f>
        <v>0.0697889281217196</v>
      </c>
      <c r="E8" s="32" t="n">
        <f aca="false">'Historical Financials'!E22</f>
        <v>0.0950822722972659</v>
      </c>
      <c r="F8" s="32" t="n">
        <f aca="false">'Historical Financials'!F22</f>
        <v>0.094826469953503</v>
      </c>
      <c r="G8" s="72" t="n">
        <f aca="false">'Budgeted P&amp;L'!D21</f>
        <v>0.0897008072881616</v>
      </c>
      <c r="H8" s="16" t="s">
        <v>372</v>
      </c>
    </row>
    <row r="9" customFormat="false" ht="30" hidden="false" customHeight="true" outlineLevel="0" collapsed="false">
      <c r="B9" s="38" t="s">
        <v>373</v>
      </c>
      <c r="C9" s="32" t="n">
        <f aca="false">'Historical Financials'!C21/'Historical Financials'!C31</f>
        <v>0.0701112346047151</v>
      </c>
      <c r="D9" s="32" t="n">
        <f aca="false">'Historical Financials'!D21/'Historical Financials'!D31</f>
        <v>0.110773161466055</v>
      </c>
      <c r="E9" s="32" t="n">
        <f aca="false">'Historical Financials'!E21/'Historical Financials'!E31</f>
        <v>0.157506188985941</v>
      </c>
      <c r="F9" s="32" t="n">
        <f aca="false">'Historical Financials'!F21/'Historical Financials'!F31</f>
        <v>0.150667238847921</v>
      </c>
      <c r="G9" s="72" t="n">
        <f aca="false">'Budgeted P&amp;L'!D20/'Budgeted Balance Sheet'!D6</f>
        <v>0.140131800521335</v>
      </c>
      <c r="H9" s="16" t="s">
        <v>374</v>
      </c>
    </row>
    <row r="10" customFormat="false" ht="30" hidden="false" customHeight="true" outlineLevel="0" collapsed="false">
      <c r="B10" s="38" t="s">
        <v>375</v>
      </c>
      <c r="C10" s="32" t="n">
        <f aca="false">'Historical Financials'!C14/('Historical Financials'!C31+'Historical Financials'!C32)</f>
        <v>0.052318011442099</v>
      </c>
      <c r="D10" s="32" t="n">
        <f aca="false">'Historical Financials'!D14/('Historical Financials'!D31+'Historical Financials'!D32)</f>
        <v>0.10874936385762</v>
      </c>
      <c r="E10" s="32" t="n">
        <f aca="false">'Historical Financials'!E14/('Historical Financials'!E31+'Historical Financials'!E32)</f>
        <v>0.154749716050218</v>
      </c>
      <c r="F10" s="32" t="n">
        <f aca="false">'Historical Financials'!F14/('Historical Financials'!F31+'Historical Financials'!F32)</f>
        <v>0.151028425081675</v>
      </c>
      <c r="G10" s="72" t="n">
        <f aca="false">'Budgeted P&amp;L'!D13/('Budgeted Balance Sheet'!D6+'Budgeted Balance Sheet'!D7)</f>
        <v>0.142603246254118</v>
      </c>
      <c r="H10" s="16" t="s">
        <v>376</v>
      </c>
    </row>
    <row r="11" customFormat="false" ht="30" hidden="false" customHeight="true" outlineLevel="0" collapsed="false">
      <c r="B11" s="38" t="s">
        <v>377</v>
      </c>
      <c r="C11" s="32" t="n">
        <f aca="false">'Historical Financials'!C21/'Historical Financials'!C42</f>
        <v>0.0668595733533708</v>
      </c>
      <c r="D11" s="32" t="n">
        <f aca="false">'Historical Financials'!D21/'Historical Financials'!D42</f>
        <v>0.104814354912971</v>
      </c>
      <c r="E11" s="32" t="n">
        <f aca="false">'Historical Financials'!E21/'Historical Financials'!E42</f>
        <v>0.150790554265572</v>
      </c>
      <c r="F11" s="32" t="n">
        <f aca="false">'Historical Financials'!F21/'Historical Financials'!F42</f>
        <v>0.142958127649002</v>
      </c>
      <c r="G11" s="72" t="n">
        <f aca="false">'Budgeted P&amp;L'!D20/'Budgeted Balance Sheet'!D18</f>
        <v>0.133133042302797</v>
      </c>
      <c r="H11" s="16" t="s">
        <v>378</v>
      </c>
    </row>
    <row r="12" customFormat="false" ht="15.75" hidden="false" customHeight="true" outlineLevel="0" collapsed="false">
      <c r="A12" s="14" t="s">
        <v>379</v>
      </c>
      <c r="B12" s="14"/>
      <c r="C12" s="14"/>
      <c r="D12" s="14"/>
      <c r="E12" s="14"/>
      <c r="F12" s="14"/>
      <c r="G12" s="14"/>
      <c r="H12" s="14"/>
    </row>
    <row r="13" customFormat="false" ht="30" hidden="false" customHeight="true" outlineLevel="0" collapsed="false">
      <c r="B13" s="38" t="s">
        <v>380</v>
      </c>
      <c r="C13" s="73" t="n">
        <f aca="false">'Historical Financials'!C6/'Historical Financials'!C42</f>
        <v>1.52228192869921</v>
      </c>
      <c r="D13" s="73" t="n">
        <f aca="false">'Historical Financials'!D6/'Historical Financials'!D42</f>
        <v>1.50187655454692</v>
      </c>
      <c r="E13" s="73" t="n">
        <f aca="false">'Historical Financials'!E6/'Historical Financials'!E42</f>
        <v>1.58589556835726</v>
      </c>
      <c r="F13" s="73" t="n">
        <f aca="false">'Historical Financials'!F6/'Historical Financials'!F42</f>
        <v>1.50757618330726</v>
      </c>
      <c r="G13" s="74" t="n">
        <f aca="false">'Budgeted P&amp;L'!D5/'Budgeted Balance Sheet'!D18</f>
        <v>1.48419001263958</v>
      </c>
      <c r="H13" s="16" t="s">
        <v>381</v>
      </c>
    </row>
    <row r="14" customFormat="false" ht="30" hidden="false" customHeight="true" outlineLevel="0" collapsed="false">
      <c r="B14" s="38" t="s">
        <v>382</v>
      </c>
      <c r="C14" s="73" t="n">
        <f aca="false">'Historical Financials'!C6/'Historical Financials'!C36</f>
        <v>5.50564403029264</v>
      </c>
      <c r="D14" s="73" t="n">
        <f aca="false">'Historical Financials'!D6/'Historical Financials'!D36</f>
        <v>3.76530800442641</v>
      </c>
      <c r="E14" s="73" t="n">
        <f aca="false">'Historical Financials'!E6/'Historical Financials'!E36</f>
        <v>4.06291206745448</v>
      </c>
      <c r="F14" s="73" t="n">
        <f aca="false">'Historical Financials'!F6/'Historical Financials'!F36</f>
        <v>3.82093363784926</v>
      </c>
      <c r="G14" s="74" t="n">
        <f aca="false">'Budgeted P&amp;L'!D5/'Budgeted Balance Sheet'!D12</f>
        <v>4.34782608695652</v>
      </c>
      <c r="H14" s="16" t="s">
        <v>383</v>
      </c>
    </row>
    <row r="15" customFormat="false" ht="30" hidden="false" customHeight="true" outlineLevel="0" collapsed="false">
      <c r="B15" s="38" t="s">
        <v>384</v>
      </c>
      <c r="C15" s="32" t="n">
        <f aca="false">'Historical Financials'!C41/'Historical Financials'!C6</f>
        <v>-0.0790197645641675</v>
      </c>
      <c r="D15" s="32" t="n">
        <f aca="false">'Historical Financials'!D41/'Historical Financials'!D6</f>
        <v>-0.0728266808771902</v>
      </c>
      <c r="E15" s="32" t="n">
        <f aca="false">'Historical Financials'!E41/'Historical Financials'!E6</f>
        <v>-0.070540159116639</v>
      </c>
      <c r="F15" s="32" t="n">
        <f aca="false">'Historical Financials'!F41/'Historical Financials'!F6</f>
        <v>-0.0647976300249161</v>
      </c>
      <c r="G15" s="72" t="n">
        <f aca="false">'Budgeted Balance Sheet'!D16/'Budgeted P&amp;L'!D5</f>
        <v>-0.075</v>
      </c>
      <c r="H15" s="16" t="s">
        <v>385</v>
      </c>
    </row>
    <row r="16" customFormat="false" ht="15.75" hidden="false" customHeight="true" outlineLevel="0" collapsed="false">
      <c r="A16" s="14" t="s">
        <v>386</v>
      </c>
      <c r="B16" s="14"/>
      <c r="C16" s="14"/>
      <c r="D16" s="14"/>
      <c r="E16" s="14"/>
      <c r="F16" s="14"/>
      <c r="G16" s="14"/>
      <c r="H16" s="14"/>
    </row>
    <row r="17" customFormat="false" ht="30" hidden="false" customHeight="true" outlineLevel="0" collapsed="false">
      <c r="B17" s="38" t="s">
        <v>387</v>
      </c>
      <c r="C17" s="75" t="n">
        <f aca="false">'Historical Financials'!C32/'Historical Financials'!C31</f>
        <v>0.00768973587428954</v>
      </c>
      <c r="D17" s="75" t="n">
        <f aca="false">'Historical Financials'!D32/'Historical Financials'!D31</f>
        <v>0.0167238157538452</v>
      </c>
      <c r="E17" s="75" t="n">
        <f aca="false">'Historical Financials'!E32/'Historical Financials'!E31</f>
        <v>0.0013849315708347</v>
      </c>
      <c r="F17" s="75" t="n">
        <f aca="false">'Historical Financials'!F32/'Historical Financials'!F31</f>
        <v>0.000903990964246638</v>
      </c>
      <c r="G17" s="76" t="n">
        <f aca="false">'Budgeted Balance Sheet'!D7/'Budgeted Balance Sheet'!D6</f>
        <v>0.000802367696686476</v>
      </c>
      <c r="H17" s="16" t="s">
        <v>388</v>
      </c>
    </row>
    <row r="18" customFormat="false" ht="30" hidden="false" customHeight="true" outlineLevel="0" collapsed="false">
      <c r="B18" s="38" t="s">
        <v>389</v>
      </c>
      <c r="C18" s="77" t="n">
        <f aca="false">'Historical Financials'!C14/'Historical Financials'!C16</f>
        <v>23.042654028436</v>
      </c>
      <c r="D18" s="77" t="n">
        <f aca="false">'Historical Financials'!D14/'Historical Financials'!D16</f>
        <v>32.6928260007927</v>
      </c>
      <c r="E18" s="77" t="n">
        <f aca="false">'Historical Financials'!E14/'Historical Financials'!E16</f>
        <v>68.5459710743802</v>
      </c>
      <c r="F18" s="77" t="n">
        <f aca="false">'Historical Financials'!F14/'Historical Financials'!F16</f>
        <v>74.9129763130793</v>
      </c>
      <c r="G18" s="78" t="n">
        <f aca="false">'Budgeted P&amp;L'!D13/'Budgeted P&amp;L'!D15</f>
        <v>79.6845872682801</v>
      </c>
      <c r="H18" s="16" t="s">
        <v>390</v>
      </c>
    </row>
    <row r="19" customFormat="false" ht="30" hidden="false" customHeight="true" outlineLevel="0" collapsed="false">
      <c r="B19" s="38" t="s">
        <v>67</v>
      </c>
      <c r="C19" s="32" t="n">
        <f aca="false">'Historical Financials'!C20/'Historical Financials'!C19</f>
        <v>0.174082432087201</v>
      </c>
      <c r="D19" s="32" t="n">
        <f aca="false">'Historical Financials'!D20/'Historical Financials'!D19</f>
        <v>0.208321358088559</v>
      </c>
      <c r="E19" s="32" t="n">
        <f aca="false">'Historical Financials'!E20/'Historical Financials'!E19</f>
        <v>0.225906051823582</v>
      </c>
      <c r="F19" s="32" t="n">
        <f aca="false">'Historical Financials'!F20/'Historical Financials'!F19</f>
        <v>0.260948012232416</v>
      </c>
      <c r="G19" s="72" t="n">
        <f aca="false">'Budgeted P&amp;L'!D19/'Budgeted P&amp;L'!D18</f>
        <v>0.2591</v>
      </c>
      <c r="H19" s="16" t="s">
        <v>391</v>
      </c>
    </row>
    <row r="20" customFormat="false" ht="15.75" hidden="false" customHeight="true" outlineLevel="0" collapsed="false">
      <c r="A20" s="14" t="s">
        <v>392</v>
      </c>
      <c r="B20" s="14"/>
      <c r="C20" s="14"/>
      <c r="D20" s="14"/>
      <c r="E20" s="14"/>
      <c r="F20" s="14"/>
      <c r="G20" s="14"/>
      <c r="H20" s="14"/>
    </row>
    <row r="21" customFormat="false" ht="30" hidden="false" customHeight="true" outlineLevel="0" collapsed="false">
      <c r="B21" s="38" t="s">
        <v>393</v>
      </c>
      <c r="C21" s="32"/>
      <c r="D21" s="32" t="n">
        <f aca="false">'Historical Financials'!D6/'Historical Financials'!C6-1</f>
        <v>0.340543055684492</v>
      </c>
      <c r="E21" s="32" t="n">
        <f aca="false">'Historical Financials'!E6/'Historical Financials'!D6-1</f>
        <v>0.198026516363919</v>
      </c>
      <c r="F21" s="32" t="n">
        <f aca="false">'Historical Financials'!F6/'Historical Financials'!E6-1</f>
        <v>0.077928522989859</v>
      </c>
      <c r="G21" s="72" t="n">
        <f aca="false">'Budgeted P&amp;L'!D5/'Budgeted P&amp;L'!C5-1</f>
        <v>0.10775</v>
      </c>
    </row>
    <row r="22" customFormat="false" ht="30" hidden="false" customHeight="true" outlineLevel="0" collapsed="false">
      <c r="B22" s="38" t="s">
        <v>394</v>
      </c>
      <c r="C22" s="32"/>
      <c r="D22" s="32" t="n">
        <f aca="false">'Historical Financials'!D11/'Historical Financials'!C11-1</f>
        <v>1.29476709544005</v>
      </c>
      <c r="E22" s="32" t="n">
        <f aca="false">'Historical Financials'!E11/'Historical Financials'!D11-1</f>
        <v>0.414826185239492</v>
      </c>
      <c r="F22" s="32" t="n">
        <f aca="false">'Historical Financials'!F11/'Historical Financials'!E11-1</f>
        <v>0.0879830295309911</v>
      </c>
      <c r="G22" s="72" t="n">
        <f aca="false">'Budgeted P&amp;L'!D10/'Budgeted P&amp;L'!C10-1</f>
        <v>0.0924931087302727</v>
      </c>
    </row>
    <row r="23" customFormat="false" ht="30" hidden="false" customHeight="true" outlineLevel="0" collapsed="false">
      <c r="B23" s="38" t="s">
        <v>395</v>
      </c>
      <c r="C23" s="32"/>
      <c r="D23" s="32" t="n">
        <f aca="false">'Historical Financials'!D21/'Historical Financials'!C21-1</f>
        <v>1.13009408428921</v>
      </c>
      <c r="E23" s="32" t="n">
        <f aca="false">'Historical Financials'!E21/'Historical Financials'!D21-1</f>
        <v>0.63222285416944</v>
      </c>
      <c r="F23" s="32" t="n">
        <f aca="false">'Historical Financials'!F21/'Historical Financials'!E21-1</f>
        <v>0.0750285434676234</v>
      </c>
      <c r="G23" s="72" t="n">
        <f aca="false">'Budgeted P&amp;L'!D20/'Budgeted P&amp;L'!C20-1</f>
        <v>0.0478727018118887</v>
      </c>
    </row>
    <row r="24" customFormat="false" ht="30" hidden="false" customHeight="true" outlineLevel="0" collapsed="false">
      <c r="B24" s="38" t="s">
        <v>396</v>
      </c>
      <c r="C24" s="43"/>
      <c r="D24" s="43" t="n">
        <f aca="false">('Historical Financials'!D36+'Historical Financials'!D37)-('Historical Financials'!C36+'Historical Financials'!C37)+'Historical Financials'!D13</f>
        <v>202467</v>
      </c>
      <c r="E24" s="43" t="n">
        <f aca="false">('Historical Financials'!E36+'Historical Financials'!E37)-('Historical Financials'!D36+'Historical Financials'!D37)+'Historical Financials'!E13</f>
        <v>87710</v>
      </c>
      <c r="F24" s="43" t="n">
        <f aca="false">('Historical Financials'!F36+'Historical Financials'!F37)-('Historical Financials'!E36+'Historical Financials'!E37)+'Historical Financials'!F13</f>
        <v>109203</v>
      </c>
      <c r="G24" s="79" t="n">
        <f aca="false">('Budgeted Balance Sheet'!D12+'Budgeted Balance Sheet'!D13)-('Historical Financials'!F36+'Historical Financials'!F37)+'Budgeted P&amp;L'!D12</f>
        <v>55703.589225</v>
      </c>
      <c r="H24" s="16" t="s">
        <v>397</v>
      </c>
    </row>
    <row r="25" customFormat="false" ht="30" hidden="false" customHeight="true" outlineLevel="0" collapsed="false">
      <c r="B25" s="31" t="s">
        <v>398</v>
      </c>
      <c r="C25" s="43"/>
      <c r="D25" s="43" t="n">
        <f aca="false">'Historical Financials'!D21+'Historical Financials'!D13-D24</f>
        <v>-71370</v>
      </c>
      <c r="E25" s="43" t="n">
        <f aca="false">'Historical Financials'!E21+'Historical Financials'!E13-E24</f>
        <v>99730</v>
      </c>
      <c r="F25" s="43" t="n">
        <f aca="false">'Historical Financials'!F21+'Historical Financials'!F13-F24</f>
        <v>91881</v>
      </c>
      <c r="G25" s="80" t="n">
        <f aca="false">'Budgeted P&amp;L'!D20+'Budgeted P&amp;L'!D12-G24</f>
        <v>161698.768283127</v>
      </c>
      <c r="H25" s="16" t="s">
        <v>399</v>
      </c>
    </row>
  </sheetData>
  <mergeCells count="6">
    <mergeCell ref="A1:H1"/>
    <mergeCell ref="A2:H2"/>
    <mergeCell ref="A5:H5"/>
    <mergeCell ref="A12:H12"/>
    <mergeCell ref="A16:H16"/>
    <mergeCell ref="A20:H20"/>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7" min="3" style="1" width="13"/>
    <col collapsed="false" customWidth="true" hidden="false" outlineLevel="0" max="8" min="8" style="1" width="38"/>
  </cols>
  <sheetData>
    <row r="1" customFormat="false" ht="21.75" hidden="false" customHeight="true" outlineLevel="0" collapsed="false">
      <c r="A1" s="10" t="s">
        <v>400</v>
      </c>
      <c r="B1" s="10"/>
      <c r="C1" s="10"/>
      <c r="D1" s="10"/>
      <c r="E1" s="10"/>
      <c r="F1" s="10"/>
      <c r="G1" s="10"/>
      <c r="H1" s="10"/>
    </row>
    <row r="2" customFormat="false" ht="15" hidden="false" customHeight="false" outlineLevel="0" collapsed="false">
      <c r="A2" s="11" t="s">
        <v>401</v>
      </c>
      <c r="B2" s="11"/>
      <c r="C2" s="11"/>
      <c r="D2" s="11"/>
      <c r="E2" s="11"/>
      <c r="F2" s="11"/>
      <c r="G2" s="11"/>
      <c r="H2" s="11"/>
    </row>
    <row r="4" customFormat="false" ht="25.5" hidden="false" customHeight="true" outlineLevel="0" collapsed="false">
      <c r="B4" s="12" t="s">
        <v>32</v>
      </c>
      <c r="C4" s="13" t="s">
        <v>402</v>
      </c>
      <c r="D4" s="13" t="s">
        <v>403</v>
      </c>
      <c r="E4" s="13" t="s">
        <v>404</v>
      </c>
      <c r="F4" s="13" t="s">
        <v>405</v>
      </c>
      <c r="G4" s="13" t="s">
        <v>406</v>
      </c>
      <c r="H4" s="13" t="s">
        <v>407</v>
      </c>
    </row>
    <row r="5" customFormat="false" ht="15.75" hidden="false" customHeight="true" outlineLevel="0" collapsed="false">
      <c r="A5" s="14" t="s">
        <v>408</v>
      </c>
      <c r="B5" s="14"/>
      <c r="C5" s="14"/>
      <c r="D5" s="14"/>
      <c r="E5" s="14"/>
      <c r="F5" s="14"/>
      <c r="G5" s="14"/>
      <c r="H5" s="14"/>
    </row>
    <row r="6" customFormat="false" ht="30" hidden="false" customHeight="true" outlineLevel="0" collapsed="false">
      <c r="B6" s="5" t="s">
        <v>409</v>
      </c>
      <c r="C6" s="71" t="n">
        <v>0.23</v>
      </c>
      <c r="D6" s="71" t="n">
        <v>0.24</v>
      </c>
      <c r="E6" s="71" t="n">
        <v>0.26</v>
      </c>
      <c r="F6" s="71" t="n">
        <v>0.27</v>
      </c>
      <c r="G6" s="29" t="n">
        <f aca="false">SUM(C6:F6)</f>
        <v>1</v>
      </c>
      <c r="H6" s="16" t="s">
        <v>410</v>
      </c>
    </row>
    <row r="8" customFormat="false" ht="15.75" hidden="false" customHeight="true" outlineLevel="0" collapsed="false">
      <c r="A8" s="14" t="s">
        <v>411</v>
      </c>
      <c r="B8" s="14"/>
      <c r="C8" s="14"/>
      <c r="D8" s="14"/>
      <c r="E8" s="14"/>
      <c r="F8" s="14"/>
      <c r="G8" s="14"/>
      <c r="H8" s="14"/>
    </row>
    <row r="9" customFormat="false" ht="21.75" hidden="false" customHeight="true" outlineLevel="0" collapsed="false">
      <c r="B9" s="5" t="s">
        <v>39</v>
      </c>
      <c r="C9" s="19" t="n">
        <f aca="false">'Budgeted P&amp;L'!$D$5*C6</f>
        <v>389595.564225</v>
      </c>
      <c r="D9" s="19" t="n">
        <f aca="false">'Budgeted P&amp;L'!$D$5*D6</f>
        <v>406534.5018</v>
      </c>
      <c r="E9" s="19" t="n">
        <f aca="false">'Budgeted P&amp;L'!$D$5*E6</f>
        <v>440412.37695</v>
      </c>
      <c r="F9" s="19" t="n">
        <f aca="false">'Budgeted P&amp;L'!$D$5*F6</f>
        <v>457351.314525</v>
      </c>
      <c r="G9" s="19" t="n">
        <f aca="false">SUM(C9:F9)</f>
        <v>1693893.7575</v>
      </c>
    </row>
    <row r="10" customFormat="false" ht="21.75" hidden="false" customHeight="true" outlineLevel="0" collapsed="false">
      <c r="B10" s="5" t="s">
        <v>412</v>
      </c>
      <c r="C10" s="19" t="n">
        <f aca="false">'Budgeted P&amp;L'!$D$10*C6</f>
        <v>50647.42334925</v>
      </c>
      <c r="D10" s="19" t="n">
        <f aca="false">'Budgeted P&amp;L'!$D$10*D6</f>
        <v>52849.485234</v>
      </c>
      <c r="E10" s="19" t="n">
        <f aca="false">'Budgeted P&amp;L'!$D$10*E6</f>
        <v>57253.6090035</v>
      </c>
      <c r="F10" s="19" t="n">
        <f aca="false">'Budgeted P&amp;L'!$D$10*F6</f>
        <v>59455.67088825</v>
      </c>
      <c r="G10" s="19" t="n">
        <f aca="false">SUM(C10:F10)</f>
        <v>220206.188475</v>
      </c>
    </row>
    <row r="11" customFormat="false" ht="21.75" hidden="false" customHeight="true" outlineLevel="0" collapsed="false">
      <c r="B11" s="5" t="s">
        <v>413</v>
      </c>
      <c r="C11" s="19" t="n">
        <f aca="false">'Budgeted P&amp;L'!$D$20*C6</f>
        <v>34947.0366268693</v>
      </c>
      <c r="D11" s="19" t="n">
        <f aca="false">'Budgeted P&amp;L'!$D$20*D6</f>
        <v>36466.4730019506</v>
      </c>
      <c r="E11" s="19" t="n">
        <f aca="false">'Budgeted P&amp;L'!$D$20*E6</f>
        <v>39505.3457521132</v>
      </c>
      <c r="F11" s="19" t="n">
        <f aca="false">'Budgeted P&amp;L'!$D$20*F6</f>
        <v>41024.7821271944</v>
      </c>
      <c r="G11" s="19" t="n">
        <f aca="false">SUM(C11:F11)</f>
        <v>151943.637508128</v>
      </c>
    </row>
    <row r="13" customFormat="false" ht="15" hidden="false" customHeight="false" outlineLevel="0" collapsed="false">
      <c r="B13" s="6" t="s">
        <v>414</v>
      </c>
      <c r="C13" s="69" t="n">
        <f aca="false">C10/C9</f>
        <v>0.13</v>
      </c>
      <c r="D13" s="69" t="n">
        <f aca="false">D10/D9</f>
        <v>0.13</v>
      </c>
      <c r="E13" s="69" t="n">
        <f aca="false">E10/E9</f>
        <v>0.13</v>
      </c>
      <c r="F13" s="69" t="n">
        <f aca="false">F10/F9</f>
        <v>0.13</v>
      </c>
    </row>
    <row r="15" customFormat="false" ht="15" hidden="false" customHeight="true" outlineLevel="0" collapsed="false">
      <c r="B15" s="37" t="s">
        <v>415</v>
      </c>
      <c r="C15" s="37"/>
      <c r="D15" s="37"/>
      <c r="E15" s="37"/>
      <c r="F15" s="37"/>
      <c r="G15" s="37"/>
      <c r="H15" s="37"/>
    </row>
    <row r="16" customFormat="false" ht="15" hidden="false" customHeight="false" outlineLevel="0" collapsed="false">
      <c r="B16" s="37"/>
      <c r="C16" s="37"/>
      <c r="D16" s="37"/>
      <c r="E16" s="37"/>
      <c r="F16" s="37"/>
      <c r="G16" s="37"/>
      <c r="H16" s="37"/>
    </row>
    <row r="17" customFormat="false" ht="15" hidden="false" customHeight="false" outlineLevel="0" collapsed="false">
      <c r="B17" s="37"/>
      <c r="C17" s="37"/>
      <c r="D17" s="37"/>
      <c r="E17" s="37"/>
      <c r="F17" s="37"/>
      <c r="G17" s="37"/>
      <c r="H17" s="37"/>
    </row>
    <row r="18" customFormat="false" ht="15" hidden="false" customHeight="false" outlineLevel="0" collapsed="false">
      <c r="B18" s="37"/>
      <c r="C18" s="37"/>
      <c r="D18" s="37"/>
      <c r="E18" s="37"/>
      <c r="F18" s="37"/>
      <c r="G18" s="37"/>
      <c r="H18" s="37"/>
    </row>
  </sheetData>
  <mergeCells count="5">
    <mergeCell ref="A1:H1"/>
    <mergeCell ref="A2:H2"/>
    <mergeCell ref="A5:H5"/>
    <mergeCell ref="A8:H8"/>
    <mergeCell ref="B15:H18"/>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2026-08-06T06:49:00Z</dcterms:created>
  <dc:creator>openpyxl</dc:creator>
  <dc:description/>
  <dc:language>en-US</dc:language>
  <cp:lastModifiedBy/>
  <dcterms:modified xsi:type="dcterms:W3CDTF">2026-08-06T07:47:25Z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